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defaultThemeVersion="124226"/>
  <mc:AlternateContent xmlns:mc="http://schemas.openxmlformats.org/markup-compatibility/2006">
    <mc:Choice Requires="x15">
      <x15ac:absPath xmlns:x15ac="http://schemas.microsoft.com/office/spreadsheetml/2010/11/ac" url="C:\Users\JB2070\Downloads\"/>
    </mc:Choice>
  </mc:AlternateContent>
  <xr:revisionPtr revIDLastSave="0" documentId="13_ncr:1_{5348E77E-F7A1-4685-8F7B-8D8410A2DF54}" xr6:coauthVersionLast="44" xr6:coauthVersionMax="44" xr10:uidLastSave="{00000000-0000-0000-0000-000000000000}"/>
  <bookViews>
    <workbookView xWindow="-108" yWindow="-108" windowWidth="23256" windowHeight="12576" xr2:uid="{00000000-000D-0000-FFFF-FFFF00000000}"/>
  </bookViews>
  <sheets>
    <sheet name="AP Worksheet" sheetId="1" r:id="rId1"/>
    <sheet name="WLAN Team Internal use" sheetId="2" state="hidden" r:id="rId2"/>
  </sheets>
  <definedNames>
    <definedName name="_xlnm.Print_Area" localSheetId="0">'AP Worksheet'!$A$1:$K$42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5" i="1" l="1"/>
  <c r="E14" i="1"/>
  <c r="E13" i="1"/>
  <c r="F17" i="1" l="1"/>
  <c r="F18" i="1"/>
  <c r="F19" i="1"/>
  <c r="F20" i="1"/>
  <c r="F21" i="1"/>
  <c r="F22" i="1"/>
  <c r="F23" i="1"/>
  <c r="F24" i="1"/>
  <c r="F25" i="1"/>
  <c r="F26" i="1"/>
  <c r="F27" i="1"/>
  <c r="F28" i="1"/>
  <c r="F29" i="1"/>
  <c r="E30" i="1"/>
  <c r="F30" i="1"/>
  <c r="M30" i="1" l="1"/>
  <c r="N30" i="1"/>
  <c r="O30" i="1"/>
  <c r="L30" i="1"/>
  <c r="M28" i="1"/>
  <c r="N28" i="1"/>
  <c r="O28" i="1"/>
  <c r="L28" i="1"/>
  <c r="M26" i="1"/>
  <c r="N26" i="1"/>
  <c r="O26" i="1"/>
  <c r="L26" i="1"/>
  <c r="M24" i="1"/>
  <c r="N24" i="1"/>
  <c r="O24" i="1"/>
  <c r="L24" i="1"/>
  <c r="M22" i="1"/>
  <c r="N22" i="1"/>
  <c r="O22" i="1"/>
  <c r="L22" i="1"/>
  <c r="M20" i="1"/>
  <c r="N20" i="1"/>
  <c r="O20" i="1"/>
  <c r="L20" i="1"/>
  <c r="M18" i="1"/>
  <c r="N18" i="1"/>
  <c r="O18" i="1"/>
  <c r="L18" i="1"/>
  <c r="M29" i="1"/>
  <c r="N29" i="1"/>
  <c r="O29" i="1"/>
  <c r="L29" i="1"/>
  <c r="M27" i="1"/>
  <c r="N27" i="1"/>
  <c r="O27" i="1"/>
  <c r="L27" i="1"/>
  <c r="M25" i="1"/>
  <c r="N25" i="1"/>
  <c r="O25" i="1"/>
  <c r="L25" i="1"/>
  <c r="M21" i="1"/>
  <c r="N21" i="1"/>
  <c r="O21" i="1"/>
  <c r="L21" i="1"/>
  <c r="M19" i="1"/>
  <c r="N19" i="1"/>
  <c r="O19" i="1"/>
  <c r="L19" i="1"/>
  <c r="M17" i="1"/>
  <c r="N17" i="1"/>
  <c r="O17" i="1"/>
  <c r="L17" i="1"/>
  <c r="L23" i="1"/>
  <c r="N23" i="1"/>
  <c r="O23" i="1"/>
  <c r="M23" i="1"/>
  <c r="E31" i="1"/>
  <c r="E32" i="1"/>
  <c r="E33" i="1"/>
  <c r="E34" i="1"/>
  <c r="E35" i="1"/>
  <c r="E36" i="1"/>
  <c r="E37" i="1"/>
  <c r="E38" i="1"/>
  <c r="F12" i="1" l="1"/>
  <c r="F14" i="1"/>
  <c r="F15" i="1"/>
  <c r="F16" i="1"/>
  <c r="F31" i="1"/>
  <c r="F32" i="1"/>
  <c r="F33" i="1"/>
  <c r="F34" i="1"/>
  <c r="F35" i="1"/>
  <c r="F36" i="1"/>
  <c r="F37" i="1"/>
  <c r="F38" i="1"/>
  <c r="F13" i="1"/>
  <c r="E12" i="1"/>
  <c r="M37" i="1" l="1"/>
  <c r="N37" i="1"/>
  <c r="O37" i="1"/>
  <c r="L37" i="1"/>
  <c r="M33" i="1"/>
  <c r="N33" i="1"/>
  <c r="O33" i="1"/>
  <c r="L33" i="1"/>
  <c r="M15" i="1"/>
  <c r="N15" i="1"/>
  <c r="O15" i="1"/>
  <c r="L15" i="1"/>
  <c r="M36" i="1"/>
  <c r="N36" i="1"/>
  <c r="O36" i="1"/>
  <c r="L36" i="1"/>
  <c r="M32" i="1"/>
  <c r="N32" i="1"/>
  <c r="O32" i="1"/>
  <c r="L32" i="1"/>
  <c r="M14" i="1"/>
  <c r="N14" i="1"/>
  <c r="O14" i="1"/>
  <c r="L14" i="1"/>
  <c r="M13" i="1"/>
  <c r="N13" i="1"/>
  <c r="O13" i="1"/>
  <c r="L13" i="1"/>
  <c r="M35" i="1"/>
  <c r="N35" i="1"/>
  <c r="O35" i="1"/>
  <c r="L35" i="1"/>
  <c r="M31" i="1"/>
  <c r="N31" i="1"/>
  <c r="O31" i="1"/>
  <c r="L31" i="1"/>
  <c r="M38" i="1"/>
  <c r="N38" i="1"/>
  <c r="O38" i="1"/>
  <c r="L38" i="1"/>
  <c r="M34" i="1"/>
  <c r="N34" i="1"/>
  <c r="O34" i="1"/>
  <c r="L34" i="1"/>
  <c r="M16" i="1"/>
  <c r="N16" i="1"/>
  <c r="O16" i="1"/>
  <c r="L16" i="1"/>
  <c r="N12" i="1"/>
  <c r="M12" i="1"/>
  <c r="L12" i="1"/>
  <c r="O12" i="1"/>
</calcChain>
</file>

<file path=xl/sharedStrings.xml><?xml version="1.0" encoding="utf-8"?>
<sst xmlns="http://schemas.openxmlformats.org/spreadsheetml/2006/main" count="67" uniqueCount="64">
  <si>
    <t>WAP Name</t>
  </si>
  <si>
    <t>Typical Connection All Access Points</t>
  </si>
  <si>
    <t xml:space="preserve">Wireless Access </t>
  </si>
  <si>
    <t>Switch Name</t>
  </si>
  <si>
    <t>* Power Injector Only as Needed</t>
  </si>
  <si>
    <t>**</t>
  </si>
  <si>
    <t>Technician &amp; Impl Please Provide</t>
  </si>
  <si>
    <t>clli = CLLI Code</t>
  </si>
  <si>
    <t>xx = Floor</t>
  </si>
  <si>
    <t>Vxxx = VLAN</t>
  </si>
  <si>
    <t>A = WAP A,B,C etc.,</t>
  </si>
  <si>
    <t>See Naming Legend Bottom of Page</t>
  </si>
  <si>
    <r>
      <rPr>
        <b/>
        <sz val="11"/>
        <color rgb="FF0000FF"/>
        <rFont val="Arial"/>
        <family val="2"/>
      </rPr>
      <t>PSDNCA71</t>
    </r>
    <r>
      <rPr>
        <b/>
        <sz val="11"/>
        <rFont val="Arial"/>
        <family val="2"/>
      </rPr>
      <t>ESN</t>
    </r>
    <r>
      <rPr>
        <b/>
        <sz val="11"/>
        <color rgb="FF00B0F0"/>
        <rFont val="Arial"/>
        <family val="2"/>
      </rPr>
      <t>04</t>
    </r>
    <r>
      <rPr>
        <b/>
        <sz val="11"/>
        <color rgb="FF00B050"/>
        <rFont val="Arial"/>
        <family val="2"/>
      </rPr>
      <t>Vxxx</t>
    </r>
    <r>
      <rPr>
        <b/>
        <sz val="11"/>
        <color rgb="FFFF0000"/>
        <rFont val="Arial"/>
        <family val="2"/>
      </rPr>
      <t>A</t>
    </r>
  </si>
  <si>
    <t>AP_1</t>
  </si>
  <si>
    <t>Attach this completed worksheet to your PPM request</t>
  </si>
  <si>
    <t>switchport has been configured with the "no fdp enable" command before submitting this request</t>
  </si>
  <si>
    <t>If the WAPs are connected to Foundry Switches please ensure that each connected</t>
  </si>
  <si>
    <t>If the WAPs are connected to Cisco Switches please ensure that CDP is enabled</t>
  </si>
  <si>
    <t>Please ensure that the AP# matches to what is shown in the heatmap</t>
  </si>
  <si>
    <t>on the router/switch/switchport before submitting this request.</t>
  </si>
  <si>
    <t>While you are in the switch, run the command "sh cdp nei" and see if the APs are in the screen output.</t>
  </si>
  <si>
    <t>If not, you'll have to enable CDP either globally or on the switch port.</t>
  </si>
  <si>
    <t>Check switchport configurations:</t>
  </si>
  <si>
    <t>If the site does not have 10GB in the Distribution Layer then the ports that the APs are connected to should be configured for 100mb/sec</t>
  </si>
  <si>
    <t xml:space="preserve">Any changes to the port configurations will require that the port and APs be "bounced" for the settings to take effect. On POE switches, </t>
  </si>
  <si>
    <t>If the site has 10GB in the Distribution Layer then the ports that the APs are connected to should be configured for 1000mb/sec</t>
  </si>
  <si>
    <t>a shut/no shut or enable/disable will bounce both the port and ap simultaneously.</t>
  </si>
  <si>
    <t>Note 1: This information is used to document the physical location of the AP in the NCS/PI (Cisco Prime Infrastructure).</t>
  </si>
  <si>
    <t>AABBCCDDEEFF</t>
  </si>
  <si>
    <r>
      <t>AP# 
A</t>
    </r>
    <r>
      <rPr>
        <b/>
        <sz val="9"/>
        <rFont val="Arial"/>
        <family val="2"/>
      </rPr>
      <t>s indicated in the Heat Map (see note 1)</t>
    </r>
  </si>
  <si>
    <t>Floor/
Building</t>
  </si>
  <si>
    <t>AP Name Lowercase</t>
  </si>
  <si>
    <t>For best results, switchports should be configured for "speed auto" duplex auto" where applicable.</t>
  </si>
  <si>
    <r>
      <rPr>
        <b/>
        <sz val="11"/>
        <color rgb="FF0000FF"/>
        <rFont val="Courier New"/>
        <family val="3"/>
      </rPr>
      <t>PSDNCA71</t>
    </r>
    <r>
      <rPr>
        <b/>
        <sz val="11"/>
        <rFont val="Courier New"/>
        <family val="3"/>
      </rPr>
      <t>APN</t>
    </r>
    <r>
      <rPr>
        <b/>
        <sz val="11"/>
        <color rgb="FF00B0F0"/>
        <rFont val="Courier New"/>
        <family val="3"/>
      </rPr>
      <t>01</t>
    </r>
    <r>
      <rPr>
        <b/>
        <sz val="11"/>
        <color rgb="FF00B050"/>
        <rFont val="Courier New"/>
        <family val="3"/>
      </rPr>
      <t>V120</t>
    </r>
    <r>
      <rPr>
        <b/>
        <sz val="11"/>
        <color rgb="FFFF0000"/>
        <rFont val="Courier New"/>
        <family val="3"/>
      </rPr>
      <t>A</t>
    </r>
  </si>
  <si>
    <t>AP Name</t>
  </si>
  <si>
    <t>AP IP</t>
  </si>
  <si>
    <t>Controller IP</t>
  </si>
  <si>
    <t>Controller Name</t>
  </si>
  <si>
    <r>
      <rPr>
        <b/>
        <u/>
        <sz val="11"/>
        <color rgb="FFFF0000"/>
        <rFont val="Arial"/>
        <family val="2"/>
      </rPr>
      <t>INSTRUCTIONS</t>
    </r>
    <r>
      <rPr>
        <sz val="11"/>
        <rFont val="Arial"/>
        <family val="2"/>
      </rPr>
      <t>: UnHide Sheet 2 by right-clicking the tabs below. Then go to the PI, make an advanced search matching all "Unassigned APs", set the search to show all results in one page. 
Once complete, copy the entire results table and paste it (as plain text) in Cell "A1" on Sheet2. Make the necessary changes so Column A shows the MAC Addresses. Columns L, M, N and O on Sheet1 will show matching data for current APs.</t>
    </r>
  </si>
  <si>
    <r>
      <t xml:space="preserve">MAC Validation
</t>
    </r>
    <r>
      <rPr>
        <b/>
        <sz val="10"/>
        <rFont val="Arial"/>
        <family val="2"/>
      </rPr>
      <t>(If a MAC is highlighted in red, Look for the "#" pointing the invalid digits)</t>
    </r>
  </si>
  <si>
    <t xml:space="preserve"> &lt;- EXAMPLE</t>
  </si>
  <si>
    <r>
      <t xml:space="preserve">MAC Address
</t>
    </r>
    <r>
      <rPr>
        <b/>
        <sz val="9"/>
        <rFont val="Arial"/>
        <family val="2"/>
      </rPr>
      <t xml:space="preserve">(112233445566)
No dashes, periods, Colons or Spaces are allowed.
</t>
    </r>
  </si>
  <si>
    <t>Worksheet Verion:</t>
  </si>
  <si>
    <t>2.1</t>
  </si>
  <si>
    <t>The SLA on turn-ups is 5 busines days</t>
  </si>
  <si>
    <t>WiFi 2.0 = WlanVPN + Guestnet</t>
  </si>
  <si>
    <t>WiFi 2.0 with attwifi overlay = WlanVPN + attwifi</t>
  </si>
  <si>
    <t>WiFI 3.0 = ATTCORP + attwifi</t>
  </si>
  <si>
    <t>Note: Cisco 2802 APs require POE+ (26.1 watts) to be fully operational</t>
  </si>
  <si>
    <t xml:space="preserve">A 802.3af capable switch can only provide 15.4 watts per switch port </t>
  </si>
  <si>
    <t xml:space="preserve">A 802.3at capable switch can provide up to 30 watts per switch port </t>
  </si>
  <si>
    <t>A Cisco AIR-PWRINJ6 can provide up to 30.0 watts per injector. You'll need to install 1 AIR-PWRINJ6 per AP if the POE switch cannot provide 26.1 watts per port</t>
  </si>
  <si>
    <t>POE Port Primary</t>
  </si>
  <si>
    <t>AUX Port Secondary</t>
  </si>
  <si>
    <t>DDD 4ATT Plaza Inventory Sheet For AP Turn-ups</t>
  </si>
  <si>
    <t>Flr. 2</t>
  </si>
  <si>
    <t>6C410E173BCC</t>
  </si>
  <si>
    <t>6C410E175FBC</t>
  </si>
  <si>
    <t>W/4ATT/N2</t>
  </si>
  <si>
    <t>W/4ATT/N1</t>
  </si>
  <si>
    <t>DLLCTX04 - 2nd Flr._IDF</t>
  </si>
  <si>
    <t>DLLCTX04APN02V088A</t>
  </si>
  <si>
    <t>DLLCTX04APN02V088B</t>
  </si>
  <si>
    <t>DLLCTX04ESN02V088A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</si>
</sst>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0"/>
      <name val="Arial"/>
    </font>
    <font>
      <b/>
      <i/>
      <sz val="11"/>
      <color rgb="FF0000FF"/>
      <name val="Arial"/>
      <family val="2"/>
    </font>
    <font>
      <b/>
      <sz val="11"/>
      <name val="Arial"/>
      <family val="2"/>
    </font>
    <font>
      <sz val="11"/>
      <name val="Arial"/>
      <family val="2"/>
    </font>
    <font>
      <b/>
      <sz val="11"/>
      <color rgb="FF0000FF"/>
      <name val="Arial"/>
      <family val="2"/>
    </font>
    <font>
      <b/>
      <i/>
      <sz val="11"/>
      <color rgb="FFFF0000"/>
      <name val="Arial"/>
      <family val="2"/>
    </font>
    <font>
      <b/>
      <i/>
      <sz val="11"/>
      <name val="Arial"/>
      <family val="2"/>
    </font>
    <font>
      <b/>
      <sz val="11"/>
      <color rgb="FFFF0000"/>
      <name val="Arial"/>
      <family val="2"/>
    </font>
    <font>
      <b/>
      <sz val="11"/>
      <color rgb="FF00B0F0"/>
      <name val="Arial"/>
      <family val="2"/>
    </font>
    <font>
      <b/>
      <sz val="11"/>
      <color rgb="FF00B050"/>
      <name val="Arial"/>
      <family val="2"/>
    </font>
    <font>
      <sz val="11"/>
      <color rgb="FFFF0000"/>
      <name val="Arial"/>
      <family val="2"/>
    </font>
    <font>
      <sz val="11"/>
      <name val="Calibri"/>
      <family val="2"/>
    </font>
    <font>
      <sz val="14"/>
      <name val="Arial"/>
      <family val="2"/>
    </font>
    <font>
      <b/>
      <sz val="10"/>
      <name val="Arial"/>
      <family val="2"/>
    </font>
    <font>
      <b/>
      <sz val="9"/>
      <name val="Arial"/>
      <family val="2"/>
    </font>
    <font>
      <sz val="11"/>
      <color rgb="FFFF0000"/>
      <name val="Courier New"/>
      <family val="3"/>
    </font>
    <font>
      <b/>
      <sz val="11"/>
      <color rgb="FFFF0000"/>
      <name val="Courier New"/>
      <family val="3"/>
    </font>
    <font>
      <b/>
      <sz val="11"/>
      <color rgb="FF0000FF"/>
      <name val="Courier New"/>
      <family val="3"/>
    </font>
    <font>
      <b/>
      <sz val="11"/>
      <name val="Courier New"/>
      <family val="3"/>
    </font>
    <font>
      <b/>
      <sz val="11"/>
      <color rgb="FF00B0F0"/>
      <name val="Courier New"/>
      <family val="3"/>
    </font>
    <font>
      <b/>
      <sz val="11"/>
      <color rgb="FF00B050"/>
      <name val="Courier New"/>
      <family val="3"/>
    </font>
    <font>
      <sz val="11"/>
      <name val="Courier New"/>
      <family val="3"/>
    </font>
    <font>
      <b/>
      <sz val="8"/>
      <color rgb="FFFF0000"/>
      <name val="Arial"/>
      <family val="2"/>
    </font>
    <font>
      <b/>
      <u/>
      <sz val="11"/>
      <color rgb="FFFF0000"/>
      <name val="Arial"/>
      <family val="2"/>
    </font>
    <font>
      <i/>
      <sz val="11"/>
      <name val="Arial"/>
      <family val="2"/>
    </font>
    <font>
      <i/>
      <u/>
      <sz val="11"/>
      <name val="Arial"/>
      <family val="2"/>
    </font>
    <font>
      <b/>
      <sz val="12"/>
      <name val="Arial"/>
      <family val="2"/>
    </font>
    <font>
      <sz val="10"/>
      <name val="Arial"/>
      <family val="2"/>
    </font>
    <font>
      <b/>
      <sz val="12"/>
      <color rgb="FFFF0000"/>
      <name val="Arial"/>
      <family val="2"/>
    </font>
  </fonts>
  <fills count="7">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EAEAEA"/>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27" fillId="0" borderId="0"/>
  </cellStyleXfs>
  <cellXfs count="61">
    <xf numFmtId="0" fontId="0" fillId="0" borderId="0" xfId="0"/>
    <xf numFmtId="49" fontId="1" fillId="0" borderId="0" xfId="0" applyNumberFormat="1" applyFont="1" applyAlignment="1">
      <alignment horizontal="center"/>
    </xf>
    <xf numFmtId="49" fontId="3" fillId="0" borderId="0" xfId="0" applyNumberFormat="1" applyFont="1"/>
    <xf numFmtId="49" fontId="3" fillId="0" borderId="0" xfId="0" applyNumberFormat="1" applyFont="1" applyAlignment="1">
      <alignment horizontal="center"/>
    </xf>
    <xf numFmtId="0" fontId="3" fillId="0" borderId="0" xfId="0" applyFont="1"/>
    <xf numFmtId="49" fontId="4" fillId="0" borderId="0" xfId="0" applyNumberFormat="1" applyFont="1" applyAlignment="1">
      <alignment horizontal="center"/>
    </xf>
    <xf numFmtId="0" fontId="3" fillId="0" borderId="0" xfId="0" applyFont="1" applyAlignment="1">
      <alignment horizontal="center"/>
    </xf>
    <xf numFmtId="49" fontId="2" fillId="0" borderId="0" xfId="0" applyNumberFormat="1" applyFont="1"/>
    <xf numFmtId="0" fontId="5" fillId="0" borderId="0" xfId="0" applyFont="1"/>
    <xf numFmtId="0" fontId="6" fillId="0" borderId="0" xfId="0" applyFont="1"/>
    <xf numFmtId="49" fontId="5" fillId="0" borderId="0" xfId="0" applyNumberFormat="1" applyFont="1" applyAlignment="1">
      <alignment horizontal="center"/>
    </xf>
    <xf numFmtId="0" fontId="2" fillId="3" borderId="1" xfId="0" applyFont="1" applyFill="1" applyBorder="1" applyAlignment="1">
      <alignment horizontal="center"/>
    </xf>
    <xf numFmtId="0" fontId="4" fillId="0" borderId="0" xfId="0" applyFont="1"/>
    <xf numFmtId="0" fontId="8" fillId="0" borderId="0" xfId="0" applyFont="1"/>
    <xf numFmtId="0" fontId="9" fillId="0" borderId="0" xfId="0" applyFont="1"/>
    <xf numFmtId="0" fontId="7" fillId="0" borderId="0" xfId="0" applyFont="1"/>
    <xf numFmtId="0" fontId="10" fillId="3" borderId="1" xfId="0" applyFont="1" applyFill="1" applyBorder="1" applyAlignment="1">
      <alignment horizontal="center"/>
    </xf>
    <xf numFmtId="0" fontId="7" fillId="0" borderId="1" xfId="0" applyFont="1" applyFill="1" applyBorder="1" applyAlignment="1">
      <alignment horizontal="center"/>
    </xf>
    <xf numFmtId="0" fontId="2" fillId="0" borderId="1" xfId="0" applyFont="1" applyFill="1" applyBorder="1" applyAlignment="1">
      <alignment horizontal="center"/>
    </xf>
    <xf numFmtId="0" fontId="12" fillId="0" borderId="0" xfId="0" applyFont="1"/>
    <xf numFmtId="0" fontId="7" fillId="4" borderId="1" xfId="0" applyFont="1" applyFill="1" applyBorder="1" applyAlignment="1">
      <alignment horizontal="center"/>
    </xf>
    <xf numFmtId="0" fontId="2" fillId="4" borderId="1" xfId="0" applyFont="1" applyFill="1" applyBorder="1" applyAlignment="1">
      <alignment horizontal="center"/>
    </xf>
    <xf numFmtId="0" fontId="10" fillId="4" borderId="1" xfId="0" applyFont="1" applyFill="1" applyBorder="1" applyAlignment="1">
      <alignment horizontal="center"/>
    </xf>
    <xf numFmtId="0" fontId="11" fillId="0" borderId="1" xfId="0" applyFont="1" applyBorder="1" applyAlignment="1">
      <alignment horizontal="center"/>
    </xf>
    <xf numFmtId="49" fontId="4" fillId="0" borderId="0" xfId="0" applyNumberFormat="1" applyFont="1" applyAlignment="1">
      <alignment horizontal="left"/>
    </xf>
    <xf numFmtId="0" fontId="12" fillId="5" borderId="0" xfId="0" applyFont="1" applyFill="1"/>
    <xf numFmtId="0" fontId="3" fillId="5" borderId="0" xfId="0" applyFont="1" applyFill="1"/>
    <xf numFmtId="0" fontId="3" fillId="6" borderId="0" xfId="0" applyFont="1" applyFill="1"/>
    <xf numFmtId="0" fontId="12" fillId="0" borderId="0" xfId="0" applyFont="1" applyFill="1"/>
    <xf numFmtId="0" fontId="3" fillId="0" borderId="0" xfId="0" applyFont="1" applyFill="1"/>
    <xf numFmtId="49"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49" fontId="13" fillId="2" borderId="1" xfId="0" applyNumberFormat="1" applyFont="1" applyFill="1" applyBorder="1" applyAlignment="1">
      <alignment horizontal="center" vertical="center" wrapText="1"/>
    </xf>
    <xf numFmtId="0" fontId="3" fillId="0" borderId="1" xfId="0" applyFont="1" applyFill="1" applyBorder="1" applyAlignment="1">
      <alignment horizontal="center"/>
    </xf>
    <xf numFmtId="0" fontId="15" fillId="4" borderId="1" xfId="0" applyFont="1" applyFill="1" applyBorder="1" applyAlignment="1">
      <alignment horizontal="center"/>
    </xf>
    <xf numFmtId="0" fontId="16" fillId="4" borderId="1" xfId="0" applyFont="1" applyFill="1" applyBorder="1" applyAlignment="1">
      <alignment horizontal="center"/>
    </xf>
    <xf numFmtId="0" fontId="16" fillId="0" borderId="1" xfId="0" applyFont="1" applyFill="1" applyBorder="1" applyAlignment="1">
      <alignment horizontal="center"/>
    </xf>
    <xf numFmtId="0" fontId="21" fillId="0" borderId="1" xfId="0" applyFont="1" applyBorder="1" applyAlignment="1">
      <alignment horizontal="center"/>
    </xf>
    <xf numFmtId="0" fontId="0" fillId="0" borderId="1" xfId="0" applyBorder="1"/>
    <xf numFmtId="0" fontId="3" fillId="0" borderId="0" xfId="0" applyFont="1" applyAlignment="1"/>
    <xf numFmtId="49" fontId="24" fillId="0" borderId="0" xfId="0" applyNumberFormat="1" applyFont="1" applyAlignment="1">
      <alignment horizontal="left"/>
    </xf>
    <xf numFmtId="0" fontId="24" fillId="0" borderId="0" xfId="0" applyFont="1" applyAlignment="1">
      <alignment horizontal="left"/>
    </xf>
    <xf numFmtId="49" fontId="25" fillId="0" borderId="0" xfId="0" applyNumberFormat="1" applyFont="1"/>
    <xf numFmtId="0" fontId="12" fillId="0" borderId="0" xfId="0" applyFont="1" applyAlignment="1"/>
    <xf numFmtId="49" fontId="6" fillId="0" borderId="0" xfId="0" applyNumberFormat="1" applyFont="1" applyAlignment="1">
      <alignment horizontal="center"/>
    </xf>
    <xf numFmtId="0" fontId="3" fillId="4" borderId="1" xfId="0" applyFont="1" applyFill="1" applyBorder="1" applyAlignment="1">
      <alignment horizontal="center"/>
    </xf>
    <xf numFmtId="0" fontId="3" fillId="3" borderId="1" xfId="0" applyFont="1" applyFill="1" applyBorder="1" applyAlignment="1">
      <alignment horizontal="center"/>
    </xf>
    <xf numFmtId="0" fontId="26" fillId="0" borderId="1" xfId="0" applyFont="1" applyFill="1" applyBorder="1" applyAlignment="1">
      <alignment horizontal="center"/>
    </xf>
    <xf numFmtId="0" fontId="26" fillId="0" borderId="1" xfId="0" applyFont="1" applyFill="1" applyBorder="1"/>
    <xf numFmtId="0" fontId="26" fillId="0" borderId="1" xfId="0" applyFont="1" applyBorder="1" applyAlignment="1">
      <alignment horizontal="center"/>
    </xf>
    <xf numFmtId="0" fontId="7" fillId="3" borderId="1" xfId="0" applyFont="1" applyFill="1" applyBorder="1" applyAlignment="1">
      <alignment horizontal="center"/>
    </xf>
    <xf numFmtId="0" fontId="28" fillId="0" borderId="1" xfId="1" applyFont="1" applyFill="1" applyBorder="1" applyAlignment="1">
      <alignment horizontal="center"/>
    </xf>
    <xf numFmtId="0" fontId="26" fillId="0" borderId="1" xfId="1" applyFont="1" applyFill="1" applyBorder="1" applyAlignment="1">
      <alignment horizontal="center"/>
    </xf>
    <xf numFmtId="0" fontId="26" fillId="0" borderId="1" xfId="1" applyFont="1" applyFill="1" applyBorder="1"/>
    <xf numFmtId="0" fontId="26" fillId="0" borderId="1" xfId="1" applyFont="1" applyFill="1" applyBorder="1" applyAlignment="1">
      <alignment horizontal="center"/>
    </xf>
    <xf numFmtId="0" fontId="26" fillId="0" borderId="1" xfId="1" applyFont="1" applyFill="1" applyBorder="1" applyAlignment="1">
      <alignment horizontal="center"/>
    </xf>
    <xf numFmtId="0" fontId="26" fillId="0" borderId="1" xfId="1" applyFont="1" applyFill="1" applyBorder="1"/>
    <xf numFmtId="0" fontId="13" fillId="3" borderId="1" xfId="0" applyFont="1" applyFill="1" applyBorder="1" applyAlignment="1">
      <alignment horizontal="center"/>
    </xf>
    <xf numFmtId="0" fontId="22" fillId="4" borderId="2" xfId="0" applyFont="1" applyFill="1" applyBorder="1" applyAlignment="1">
      <alignment horizontal="left"/>
    </xf>
    <xf numFmtId="0" fontId="22" fillId="4" borderId="3" xfId="0" applyFont="1" applyFill="1" applyBorder="1" applyAlignment="1">
      <alignment horizontal="left"/>
    </xf>
    <xf numFmtId="0" fontId="3" fillId="0" borderId="1" xfId="0" applyFont="1" applyBorder="1" applyAlignment="1">
      <alignment horizontal="center" vertical="center" wrapText="1"/>
    </xf>
  </cellXfs>
  <cellStyles count="2">
    <cellStyle name="Normal" xfId="0" builtinId="0"/>
    <cellStyle name="Normal 2" xfId="1" xr:uid="{00000000-0005-0000-0000-00002F000000}"/>
  </cellStyles>
  <dxfs count="1">
    <dxf>
      <font>
        <b/>
        <i val="0"/>
        <color theme="5" tint="0.79998168889431442"/>
      </font>
      <fill>
        <patternFill>
          <bgColor rgb="FFFF0000"/>
        </patternFill>
      </fill>
    </dxf>
  </dxfs>
  <tableStyles count="0" defaultTableStyle="TableStyleMedium9" defaultPivotStyle="PivotStyleLight16"/>
  <colors>
    <mruColors>
      <color rgb="FFEAEAEA"/>
      <color rgb="FF66FFFF"/>
      <color rgb="FF00FFFF"/>
      <color rgb="FFCCECFF"/>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5</xdr:col>
      <xdr:colOff>2009775</xdr:colOff>
      <xdr:row>6</xdr:row>
      <xdr:rowOff>95250</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105275" y="180975"/>
          <a:ext cx="5210175" cy="1019175"/>
        </a:xfrm>
        <a:prstGeom prst="rect">
          <a:avLst/>
        </a:prstGeom>
        <a:noFill/>
        <a:ln w="9525">
          <a:noFill/>
          <a:miter lim="800000"/>
          <a:headEnd/>
          <a:tailEnd/>
        </a:ln>
        <a:effectLst/>
      </xdr:spPr>
    </xdr:pic>
    <xdr:clientData/>
  </xdr:twoCellAnchor>
  <xdr:twoCellAnchor editAs="oneCell">
    <xdr:from>
      <xdr:col>2</xdr:col>
      <xdr:colOff>2486025</xdr:colOff>
      <xdr:row>0</xdr:row>
      <xdr:rowOff>47625</xdr:rowOff>
    </xdr:from>
    <xdr:to>
      <xdr:col>5</xdr:col>
      <xdr:colOff>2519176</xdr:colOff>
      <xdr:row>6</xdr:row>
      <xdr:rowOff>171297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5095875" y="47625"/>
          <a:ext cx="5723810" cy="12285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83"/>
  <sheetViews>
    <sheetView showGridLines="0" tabSelected="1" zoomScale="90" zoomScaleNormal="90" workbookViewId="0">
      <selection activeCell="B4" sqref="B4"/>
    </sheetView>
  </sheetViews>
  <sheetFormatPr defaultColWidth="9.109375" defaultRowHeight="13.8" x14ac:dyDescent="0.25"/>
  <cols>
    <col min="1" max="1" width="6" style="4" bestFit="1" customWidth="1"/>
    <col min="2" max="2" width="19.109375" style="4" customWidth="1"/>
    <col min="3" max="3" width="36.33203125" style="6" customWidth="1"/>
    <col min="4" max="4" width="27.5546875" style="4" customWidth="1"/>
    <col min="5" max="5" width="21" style="4" bestFit="1" customWidth="1"/>
    <col min="6" max="6" width="39.5546875" style="4" bestFit="1" customWidth="1"/>
    <col min="7" max="7" width="29.6640625" style="4" customWidth="1"/>
    <col min="8" max="8" width="10.109375" style="4" customWidth="1"/>
    <col min="9" max="9" width="11.5546875" style="4" customWidth="1"/>
    <col min="10" max="10" width="4.88671875" style="4" customWidth="1"/>
    <col min="11" max="11" width="9" style="4" customWidth="1"/>
    <col min="12" max="15" width="22.6640625" style="4" hidden="1" customWidth="1"/>
    <col min="16" max="16384" width="9.109375" style="4"/>
  </cols>
  <sheetData>
    <row r="1" spans="1:15" x14ac:dyDescent="0.25">
      <c r="A1" s="2"/>
      <c r="B1" s="2"/>
      <c r="C1" s="3"/>
      <c r="D1" s="2"/>
      <c r="E1" s="2"/>
      <c r="F1" s="2"/>
      <c r="G1" s="2"/>
      <c r="H1" s="2"/>
      <c r="I1" s="2"/>
      <c r="J1" s="2"/>
    </row>
    <row r="2" spans="1:15" x14ac:dyDescent="0.25">
      <c r="A2" s="2"/>
      <c r="B2" s="24" t="s">
        <v>2</v>
      </c>
      <c r="C2" s="3"/>
      <c r="D2" s="5"/>
      <c r="E2" s="5"/>
      <c r="F2" s="5"/>
      <c r="G2" s="2"/>
      <c r="H2" s="2"/>
      <c r="I2" s="2"/>
      <c r="J2" s="2"/>
    </row>
    <row r="3" spans="1:15" x14ac:dyDescent="0.25">
      <c r="A3" s="2"/>
      <c r="B3" s="24" t="s">
        <v>54</v>
      </c>
      <c r="C3" s="3"/>
      <c r="D3" s="5"/>
      <c r="E3" s="5"/>
      <c r="F3" s="5"/>
      <c r="G3" s="2"/>
      <c r="H3" s="2"/>
      <c r="I3" s="2"/>
      <c r="J3" s="2"/>
    </row>
    <row r="4" spans="1:15" x14ac:dyDescent="0.25">
      <c r="A4" s="5"/>
      <c r="B4" s="24" t="s">
        <v>60</v>
      </c>
      <c r="C4" s="3"/>
      <c r="D4" s="1"/>
      <c r="E4" s="1"/>
      <c r="F4" s="1"/>
      <c r="G4" s="2"/>
      <c r="H4" s="2"/>
      <c r="I4" s="2"/>
      <c r="J4" s="2"/>
    </row>
    <row r="5" spans="1:15" ht="14.25" customHeight="1" x14ac:dyDescent="0.3">
      <c r="A5" s="7"/>
      <c r="B5" s="42" t="s">
        <v>42</v>
      </c>
      <c r="C5" s="40" t="s">
        <v>43</v>
      </c>
      <c r="D5" s="2"/>
      <c r="E5" s="2"/>
      <c r="F5" s="2"/>
      <c r="G5" s="2"/>
      <c r="H5" s="2"/>
      <c r="I5" s="2"/>
      <c r="J5" s="2"/>
    </row>
    <row r="6" spans="1:15" ht="13.5" customHeight="1" x14ac:dyDescent="0.3">
      <c r="A6" s="7"/>
      <c r="B6" s="42"/>
      <c r="C6" s="41"/>
      <c r="G6" s="2"/>
      <c r="H6" s="2"/>
      <c r="I6" s="2"/>
      <c r="J6" s="2"/>
      <c r="L6" s="60" t="s">
        <v>38</v>
      </c>
      <c r="M6" s="60"/>
      <c r="N6" s="60"/>
      <c r="O6" s="60"/>
    </row>
    <row r="7" spans="1:15" x14ac:dyDescent="0.25">
      <c r="A7" s="7"/>
      <c r="B7" s="2"/>
      <c r="C7" s="3"/>
      <c r="D7" s="2"/>
      <c r="E7" s="2"/>
      <c r="F7" s="2"/>
      <c r="G7" s="2"/>
      <c r="H7" s="3"/>
      <c r="I7" s="3"/>
      <c r="L7" s="60"/>
      <c r="M7" s="60"/>
      <c r="N7" s="60"/>
      <c r="O7" s="60"/>
    </row>
    <row r="8" spans="1:15" x14ac:dyDescent="0.25">
      <c r="A8" s="7"/>
      <c r="B8" s="2"/>
      <c r="C8" s="3"/>
      <c r="D8" s="8" t="s">
        <v>6</v>
      </c>
      <c r="E8" s="8"/>
      <c r="F8" s="8"/>
      <c r="G8" s="39"/>
      <c r="H8" s="1" t="s">
        <v>1</v>
      </c>
      <c r="I8" s="44"/>
      <c r="L8" s="60"/>
      <c r="M8" s="60"/>
      <c r="N8" s="60"/>
      <c r="O8" s="60"/>
    </row>
    <row r="9" spans="1:15" x14ac:dyDescent="0.25">
      <c r="D9" s="9" t="s">
        <v>11</v>
      </c>
      <c r="E9" s="9"/>
      <c r="F9" s="9"/>
      <c r="G9" s="39"/>
      <c r="H9" s="10" t="s">
        <v>4</v>
      </c>
      <c r="I9" s="44"/>
      <c r="J9" s="2"/>
      <c r="L9" s="60"/>
      <c r="M9" s="60"/>
      <c r="N9" s="60"/>
      <c r="O9" s="60"/>
    </row>
    <row r="10" spans="1:15" x14ac:dyDescent="0.25">
      <c r="L10" s="60"/>
      <c r="M10" s="60"/>
      <c r="N10" s="60"/>
      <c r="O10" s="60"/>
    </row>
    <row r="11" spans="1:15" ht="66" customHeight="1" x14ac:dyDescent="0.25">
      <c r="A11" s="32" t="s">
        <v>30</v>
      </c>
      <c r="B11" s="31" t="s">
        <v>29</v>
      </c>
      <c r="C11" s="30" t="s">
        <v>0</v>
      </c>
      <c r="D11" s="31" t="s">
        <v>41</v>
      </c>
      <c r="E11" s="31" t="s">
        <v>31</v>
      </c>
      <c r="F11" s="31" t="s">
        <v>39</v>
      </c>
      <c r="G11" s="30" t="s">
        <v>3</v>
      </c>
      <c r="H11" s="31" t="s">
        <v>52</v>
      </c>
      <c r="I11" s="31" t="s">
        <v>53</v>
      </c>
      <c r="L11" s="30" t="s">
        <v>34</v>
      </c>
      <c r="M11" s="30" t="s">
        <v>35</v>
      </c>
      <c r="N11" s="30" t="s">
        <v>36</v>
      </c>
      <c r="O11" s="30" t="s">
        <v>37</v>
      </c>
    </row>
    <row r="12" spans="1:15" ht="14.4" x14ac:dyDescent="0.3">
      <c r="A12" s="20">
        <v>1</v>
      </c>
      <c r="B12" s="21" t="s">
        <v>13</v>
      </c>
      <c r="C12" s="35" t="s">
        <v>33</v>
      </c>
      <c r="D12" s="22" t="s">
        <v>28</v>
      </c>
      <c r="E12" s="22" t="str">
        <f>LOWER(C12)</f>
        <v>psdnca71apn01v120a</v>
      </c>
      <c r="F12" s="34" t="str">
        <f>IF(LEN(D12)=0,"&lt;== Type a MAC Address",IF(LEN(TRIM(D12))&lt;&gt;12,"Bad MAC - Missing/Extra Digit",LOWER(CONCATENATE(IF(OR((AND(MID(TRIM(D12),1,1)&gt;="0",MID(TRIM(D12),1,1)&lt;="9")),(AND(MID(TRIM(D12),1,1)&gt;="A",MID(TRIM(D12),1,1)&lt;="F"))),MID(TRIM(D12),1,1),"#"),IF(OR((AND(MID(TRIM(D12),2,1)&gt;="0",MID(TRIM(D12),2,1)&lt;="9")),(AND(MID(TRIM(D12),2,1)&gt;="A",MID(TRIM(D12),2,1)&lt;="F"))),MID(TRIM(D12),2,1),"#"),":",IF(OR((AND(MID(TRIM(D12),3,1)&gt;="0",MID(TRIM(D12),3,1)&lt;="9")),(AND(MID(TRIM(D12),3,1)&gt;="A",MID(TRIM(D12),3,1)&lt;="F"))),MID(TRIM(D12),3,1),"#"),IF(OR((AND(MID(TRIM(D12),4,1)&gt;="0",MID(TRIM(D12),4,1)&lt;="9")),(AND(MID(TRIM(D12),4,1)&gt;="A",MID(TRIM(D12),4,1)&lt;="F"))),MID(TRIM(D12),4,1),"#"),":",IF(OR((AND(MID(TRIM(D12),5,1)&gt;="0",MID(TRIM(D12),5,1)&lt;="9")),(AND(MID(TRIM(D12),5,1)&gt;="A",MID(TRIM(D12),5,1)&lt;="F"))),MID(TRIM(D12),5,1),"#"),IF(OR((AND(MID(TRIM(D12),6,1)&gt;="0",MID(TRIM(D12),6,1)&lt;="9")),(AND(MID(TRIM(D12),6,1)&gt;="A",MID(TRIM(D12),6,1)&lt;="F"))),MID(TRIM(D12),6,1),"#"),":",IF(OR((AND(MID(TRIM(D12),7,1)&gt;="0",MID(TRIM(D12),7,1)&lt;="9")),(AND(MID(TRIM(D12),7,1)&gt;="A",MID(TRIM(D12),7,1)&lt;="F"))),MID(TRIM(D12),7,1),"#"),IF(OR((AND(MID(TRIM(D12),8,1)&gt;="0",MID(TRIM(D12),8,1)&lt;="9")),(AND(MID(TRIM(D12),8,1)&gt;="A",MID(TRIM(D12),8,1)&lt;="F"))),MID(TRIM(D12),8,1),"#"),":",IF(OR((AND(MID(TRIM(D12),9,1)&gt;="0",MID(TRIM(D12),9,1)&lt;="9")),(AND(MID(TRIM(D12),9,1)&gt;="A",MID(TRIM(D12),9,1)&lt;="F"))),MID(TRIM(D12),9,1),"#"),IF(OR((AND(MID(TRIM(D12),10,1)&gt;="0",MID(TRIM(D12),10,1)&lt;="9")),(AND(MID(TRIM(D12),10,1)&gt;="A",MID(TRIM(D12),10,1)&lt;="F"))),MID(TRIM(D12),10,1),"#"),":",IF(OR((AND(MID(TRIM(D12),11,1)&gt;="0",MID(TRIM(D12),11,1)&lt;="9")),(AND(MID(TRIM(D12),11,1)&gt;="A",MID(TRIM(D12),11,1)&lt;="F"))),MID(TRIM(D12),11,1),"#"),IF(OR((AND(MID(TRIM(D12),12,1)&gt;="0",MID(TRIM(D12),12,1)&lt;="9")),(AND(MID(TRIM(D12),12,1)&gt;="A",MID(TRIM(D12),12,1)&lt;="F"))),MID(TRIM(D12),12,1),"#")))))</f>
        <v>aa:bb:cc:dd:ee:ff</v>
      </c>
      <c r="G12" s="20" t="s">
        <v>12</v>
      </c>
      <c r="H12" s="22" t="s">
        <v>5</v>
      </c>
      <c r="I12" s="45" t="s">
        <v>5</v>
      </c>
      <c r="J12" s="58" t="s">
        <v>40</v>
      </c>
      <c r="K12" s="59"/>
      <c r="L12" s="38" t="e">
        <f>VLOOKUP($F12,'WLAN Team Internal use'!$A:$Q,2,0)</f>
        <v>#N/A</v>
      </c>
      <c r="M12" s="38" t="e">
        <f>VLOOKUP($F12,'WLAN Team Internal use'!$A:$Q,3,0)</f>
        <v>#N/A</v>
      </c>
      <c r="N12" s="38" t="e">
        <f>VLOOKUP($F12,'WLAN Team Internal use'!$A:$Q,6,0)</f>
        <v>#N/A</v>
      </c>
      <c r="O12" s="38" t="e">
        <f>VLOOKUP($F12,'WLAN Team Internal use'!$A:$Q,7,0)</f>
        <v>#N/A</v>
      </c>
    </row>
    <row r="13" spans="1:15" ht="14.4" x14ac:dyDescent="0.3">
      <c r="A13" s="17"/>
      <c r="B13" s="18"/>
      <c r="C13" s="36"/>
      <c r="D13" s="33"/>
      <c r="E13" s="22" t="str">
        <f t="shared" ref="E13:E38" si="0">LOWER(C13)</f>
        <v/>
      </c>
      <c r="F13" s="34" t="str">
        <f>IF(LEN(D13)=0,"&lt;== Type a MAC Address",IF(LEN(TRIM(D13))&lt;&gt;12,"Bad MAC - Missing/Extra Digit",LOWER(CONCATENATE(IF(OR((AND(MID(TRIM(D13),1,1)&gt;="0",MID(TRIM(D13),1,1)&lt;="9")),(AND(MID(TRIM(D13),1,1)&gt;="A",MID(TRIM(D13),1,1)&lt;="F"))),MID(TRIM(D13),1,1),"#"),IF(OR((AND(MID(TRIM(D13),2,1)&gt;="0",MID(TRIM(D13),2,1)&lt;="9")),(AND(MID(TRIM(D13),2,1)&gt;="A",MID(TRIM(D13),2,1)&lt;="F"))),MID(TRIM(D13),2,1),"#"),":",IF(OR((AND(MID(TRIM(D13),3,1)&gt;="0",MID(TRIM(D13),3,1)&lt;="9")),(AND(MID(TRIM(D13),3,1)&gt;="A",MID(TRIM(D13),3,1)&lt;="F"))),MID(TRIM(D13),3,1),"#"),IF(OR((AND(MID(TRIM(D13),4,1)&gt;="0",MID(TRIM(D13),4,1)&lt;="9")),(AND(MID(TRIM(D13),4,1)&gt;="A",MID(TRIM(D13),4,1)&lt;="F"))),MID(TRIM(D13),4,1),"#"),":",IF(OR((AND(MID(TRIM(D13),5,1)&gt;="0",MID(TRIM(D13),5,1)&lt;="9")),(AND(MID(TRIM(D13),5,1)&gt;="A",MID(TRIM(D13),5,1)&lt;="F"))),MID(TRIM(D13),5,1),"#"),IF(OR((AND(MID(TRIM(D13),6,1)&gt;="0",MID(TRIM(D13),6,1)&lt;="9")),(AND(MID(TRIM(D13),6,1)&gt;="A",MID(TRIM(D13),6,1)&lt;="F"))),MID(TRIM(D13),6,1),"#"),":",IF(OR((AND(MID(TRIM(D13),7,1)&gt;="0",MID(TRIM(D13),7,1)&lt;="9")),(AND(MID(TRIM(D13),7,1)&gt;="A",MID(TRIM(D13),7,1)&lt;="F"))),MID(TRIM(D13),7,1),"#"),IF(OR((AND(MID(TRIM(D13),8,1)&gt;="0",MID(TRIM(D13),8,1)&lt;="9")),(AND(MID(TRIM(D13),8,1)&gt;="A",MID(TRIM(D13),8,1)&lt;="F"))),MID(TRIM(D13),8,1),"#"),":",IF(OR((AND(MID(TRIM(D13),9,1)&gt;="0",MID(TRIM(D13),9,1)&lt;="9")),(AND(MID(TRIM(D13),9,1)&gt;="A",MID(TRIM(D13),9,1)&lt;="F"))),MID(TRIM(D13),9,1),"#"),IF(OR((AND(MID(TRIM(D13),10,1)&gt;="0",MID(TRIM(D13),10,1)&lt;="9")),(AND(MID(TRIM(D13),10,1)&gt;="A",MID(TRIM(D13),10,1)&lt;="F"))),MID(TRIM(D13),10,1),"#"),":",IF(OR((AND(MID(TRIM(D13),11,1)&gt;="0",MID(TRIM(D13),11,1)&lt;="9")),(AND(MID(TRIM(D13),11,1)&gt;="A",MID(TRIM(D13),11,1)&lt;="F"))),MID(TRIM(D13),11,1),"#"),IF(OR((AND(MID(TRIM(D13),12,1)&gt;="0",MID(TRIM(D13),12,1)&lt;="9")),(AND(MID(TRIM(D13),12,1)&gt;="A",MID(TRIM(D13),12,1)&lt;="F"))),MID(TRIM(D13),12,1),"#")))))</f>
        <v>&lt;== Type a MAC Address</v>
      </c>
      <c r="G13" s="17"/>
      <c r="H13" s="16"/>
      <c r="I13" s="46"/>
      <c r="L13" s="38" t="e">
        <f>VLOOKUP($F13,'WLAN Team Internal use'!$A:$Q,2,0)</f>
        <v>#N/A</v>
      </c>
      <c r="M13" s="38" t="e">
        <f>VLOOKUP($F13,'WLAN Team Internal use'!$A:$Q,3,0)</f>
        <v>#N/A</v>
      </c>
      <c r="N13" s="38" t="e">
        <f>VLOOKUP($F13,'WLAN Team Internal use'!$A:$Q,6,0)</f>
        <v>#N/A</v>
      </c>
      <c r="O13" s="38" t="e">
        <f>VLOOKUP($F13,'WLAN Team Internal use'!$A:$Q,7,0)</f>
        <v>#N/A</v>
      </c>
    </row>
    <row r="14" spans="1:15" ht="15.6" x14ac:dyDescent="0.3">
      <c r="A14" s="17" t="s">
        <v>55</v>
      </c>
      <c r="B14" s="55" t="s">
        <v>59</v>
      </c>
      <c r="C14" s="53" t="s">
        <v>61</v>
      </c>
      <c r="D14" s="57" t="s">
        <v>56</v>
      </c>
      <c r="E14" s="22" t="str">
        <f t="shared" si="0"/>
        <v>dllctx04apn02v088a</v>
      </c>
      <c r="F14" s="34" t="str">
        <f t="shared" ref="F14:F38" si="1">IF(LEN(D14)=0,"&lt;== Type a MAC Address",IF(LEN(TRIM(D14))&lt;&gt;12,"Bad MAC - Missing/Extra Digit",LOWER(CONCATENATE(IF(OR((AND(MID(TRIM(D14),1,1)&gt;="0",MID(TRIM(D14),1,1)&lt;="9")),(AND(MID(TRIM(D14),1,1)&gt;="A",MID(TRIM(D14),1,1)&lt;="F"))),MID(TRIM(D14),1,1),"#"),IF(OR((AND(MID(TRIM(D14),2,1)&gt;="0",MID(TRIM(D14),2,1)&lt;="9")),(AND(MID(TRIM(D14),2,1)&gt;="A",MID(TRIM(D14),2,1)&lt;="F"))),MID(TRIM(D14),2,1),"#"),":",IF(OR((AND(MID(TRIM(D14),3,1)&gt;="0",MID(TRIM(D14),3,1)&lt;="9")),(AND(MID(TRIM(D14),3,1)&gt;="A",MID(TRIM(D14),3,1)&lt;="F"))),MID(TRIM(D14),3,1),"#"),IF(OR((AND(MID(TRIM(D14),4,1)&gt;="0",MID(TRIM(D14),4,1)&lt;="9")),(AND(MID(TRIM(D14),4,1)&gt;="A",MID(TRIM(D14),4,1)&lt;="F"))),MID(TRIM(D14),4,1),"#"),":",IF(OR((AND(MID(TRIM(D14),5,1)&gt;="0",MID(TRIM(D14),5,1)&lt;="9")),(AND(MID(TRIM(D14),5,1)&gt;="A",MID(TRIM(D14),5,1)&lt;="F"))),MID(TRIM(D14),5,1),"#"),IF(OR((AND(MID(TRIM(D14),6,1)&gt;="0",MID(TRIM(D14),6,1)&lt;="9")),(AND(MID(TRIM(D14),6,1)&gt;="A",MID(TRIM(D14),6,1)&lt;="F"))),MID(TRIM(D14),6,1),"#"),":",IF(OR((AND(MID(TRIM(D14),7,1)&gt;="0",MID(TRIM(D14),7,1)&lt;="9")),(AND(MID(TRIM(D14),7,1)&gt;="A",MID(TRIM(D14),7,1)&lt;="F"))),MID(TRIM(D14),7,1),"#"),IF(OR((AND(MID(TRIM(D14),8,1)&gt;="0",MID(TRIM(D14),8,1)&lt;="9")),(AND(MID(TRIM(D14),8,1)&gt;="A",MID(TRIM(D14),8,1)&lt;="F"))),MID(TRIM(D14),8,1),"#"),":",IF(OR((AND(MID(TRIM(D14),9,1)&gt;="0",MID(TRIM(D14),9,1)&lt;="9")),(AND(MID(TRIM(D14),9,1)&gt;="A",MID(TRIM(D14),9,1)&lt;="F"))),MID(TRIM(D14),9,1),"#"),IF(OR((AND(MID(TRIM(D14),10,1)&gt;="0",MID(TRIM(D14),10,1)&lt;="9")),(AND(MID(TRIM(D14),10,1)&gt;="A",MID(TRIM(D14),10,1)&lt;="F"))),MID(TRIM(D14),10,1),"#"),":",IF(OR((AND(MID(TRIM(D14),11,1)&gt;="0",MID(TRIM(D14),11,1)&lt;="9")),(AND(MID(TRIM(D14),11,1)&gt;="A",MID(TRIM(D14),11,1)&lt;="F"))),MID(TRIM(D14),11,1),"#"),IF(OR((AND(MID(TRIM(D14),12,1)&gt;="0",MID(TRIM(D14),12,1)&lt;="9")),(AND(MID(TRIM(D14),12,1)&gt;="A",MID(TRIM(D14),12,1)&lt;="F"))),MID(TRIM(D14),12,1),"#")))))</f>
        <v>6c:41:0e:17:3b:cc</v>
      </c>
      <c r="G14" s="56" t="s">
        <v>63</v>
      </c>
      <c r="H14" s="51">
        <v>2</v>
      </c>
      <c r="I14" s="55"/>
      <c r="L14" s="38" t="e">
        <f>VLOOKUP($F14,'WLAN Team Internal use'!$A:$Q,2,0)</f>
        <v>#N/A</v>
      </c>
      <c r="M14" s="38" t="e">
        <f>VLOOKUP($F14,'WLAN Team Internal use'!$A:$Q,3,0)</f>
        <v>#N/A</v>
      </c>
      <c r="N14" s="38" t="e">
        <f>VLOOKUP($F14,'WLAN Team Internal use'!$A:$Q,6,0)</f>
        <v>#N/A</v>
      </c>
      <c r="O14" s="38" t="e">
        <f>VLOOKUP($F14,'WLAN Team Internal use'!$A:$Q,7,0)</f>
        <v>#N/A</v>
      </c>
    </row>
    <row r="15" spans="1:15" ht="15.6" x14ac:dyDescent="0.3">
      <c r="A15" s="17" t="s">
        <v>55</v>
      </c>
      <c r="B15" s="55" t="s">
        <v>58</v>
      </c>
      <c r="C15" s="53" t="s">
        <v>62</v>
      </c>
      <c r="D15" s="57" t="s">
        <v>57</v>
      </c>
      <c r="E15" s="22" t="str">
        <f t="shared" si="0"/>
        <v>dllctx04apn02v088b</v>
      </c>
      <c r="F15" s="34" t="str">
        <f t="shared" si="1"/>
        <v>6c:41:0e:17:5f:bc</v>
      </c>
      <c r="G15" s="56" t="s">
        <v>63</v>
      </c>
      <c r="H15" s="51">
        <v>3</v>
      </c>
      <c r="I15" s="55"/>
      <c r="L15" s="38" t="e">
        <f>VLOOKUP($F15,'WLAN Team Internal use'!$A:$Q,2,0)</f>
        <v>#N/A</v>
      </c>
      <c r="M15" s="38" t="e">
        <f>VLOOKUP($F15,'WLAN Team Internal use'!$A:$Q,3,0)</f>
        <v>#N/A</v>
      </c>
      <c r="N15" s="38" t="e">
        <f>VLOOKUP($F15,'WLAN Team Internal use'!$A:$Q,6,0)</f>
        <v>#N/A</v>
      </c>
      <c r="O15" s="38" t="e">
        <f>VLOOKUP($F15,'WLAN Team Internal use'!$A:$Q,7,0)</f>
        <v>#N/A</v>
      </c>
    </row>
    <row r="16" spans="1:15" ht="15.6" x14ac:dyDescent="0.3">
      <c r="A16" s="17"/>
      <c r="B16" s="52"/>
      <c r="C16" s="53"/>
      <c r="D16" s="54"/>
      <c r="E16" s="47"/>
      <c r="F16" s="34" t="str">
        <f t="shared" si="1"/>
        <v>&lt;== Type a MAC Address</v>
      </c>
      <c r="G16" s="56"/>
      <c r="H16" s="51"/>
      <c r="I16" s="55"/>
      <c r="L16" s="38" t="e">
        <f>VLOOKUP($F16,'WLAN Team Internal use'!$A:$Q,2,0)</f>
        <v>#N/A</v>
      </c>
      <c r="M16" s="38" t="e">
        <f>VLOOKUP($F16,'WLAN Team Internal use'!$A:$Q,3,0)</f>
        <v>#N/A</v>
      </c>
      <c r="N16" s="38" t="e">
        <f>VLOOKUP($F16,'WLAN Team Internal use'!$A:$Q,6,0)</f>
        <v>#N/A</v>
      </c>
      <c r="O16" s="38" t="e">
        <f>VLOOKUP($F16,'WLAN Team Internal use'!$A:$Q,7,0)</f>
        <v>#N/A</v>
      </c>
    </row>
    <row r="17" spans="1:15" ht="15.6" x14ac:dyDescent="0.3">
      <c r="A17" s="17"/>
      <c r="B17" s="52"/>
      <c r="C17" s="53"/>
      <c r="D17" s="54"/>
      <c r="E17" s="47"/>
      <c r="F17" s="34" t="str">
        <f t="shared" ref="F17:F30" si="2">IF(LEN(D17)=0,"&lt;== Type a MAC Address",IF(LEN(TRIM(D17))&lt;&gt;12,"Bad MAC - Missing/Extra Digit",LOWER(CONCATENATE(IF(OR((AND(MID(TRIM(D17),1,1)&gt;="0",MID(TRIM(D17),1,1)&lt;="9")),(AND(MID(TRIM(D17),1,1)&gt;="A",MID(TRIM(D17),1,1)&lt;="F"))),MID(TRIM(D17),1,1),"#"),IF(OR((AND(MID(TRIM(D17),2,1)&gt;="0",MID(TRIM(D17),2,1)&lt;="9")),(AND(MID(TRIM(D17),2,1)&gt;="A",MID(TRIM(D17),2,1)&lt;="F"))),MID(TRIM(D17),2,1),"#"),":",IF(OR((AND(MID(TRIM(D17),3,1)&gt;="0",MID(TRIM(D17),3,1)&lt;="9")),(AND(MID(TRIM(D17),3,1)&gt;="A",MID(TRIM(D17),3,1)&lt;="F"))),MID(TRIM(D17),3,1),"#"),IF(OR((AND(MID(TRIM(D17),4,1)&gt;="0",MID(TRIM(D17),4,1)&lt;="9")),(AND(MID(TRIM(D17),4,1)&gt;="A",MID(TRIM(D17),4,1)&lt;="F"))),MID(TRIM(D17),4,1),"#"),":",IF(OR((AND(MID(TRIM(D17),5,1)&gt;="0",MID(TRIM(D17),5,1)&lt;="9")),(AND(MID(TRIM(D17),5,1)&gt;="A",MID(TRIM(D17),5,1)&lt;="F"))),MID(TRIM(D17),5,1),"#"),IF(OR((AND(MID(TRIM(D17),6,1)&gt;="0",MID(TRIM(D17),6,1)&lt;="9")),(AND(MID(TRIM(D17),6,1)&gt;="A",MID(TRIM(D17),6,1)&lt;="F"))),MID(TRIM(D17),6,1),"#"),":",IF(OR((AND(MID(TRIM(D17),7,1)&gt;="0",MID(TRIM(D17),7,1)&lt;="9")),(AND(MID(TRIM(D17),7,1)&gt;="A",MID(TRIM(D17),7,1)&lt;="F"))),MID(TRIM(D17),7,1),"#"),IF(OR((AND(MID(TRIM(D17),8,1)&gt;="0",MID(TRIM(D17),8,1)&lt;="9")),(AND(MID(TRIM(D17),8,1)&gt;="A",MID(TRIM(D17),8,1)&lt;="F"))),MID(TRIM(D17),8,1),"#"),":",IF(OR((AND(MID(TRIM(D17),9,1)&gt;="0",MID(TRIM(D17),9,1)&lt;="9")),(AND(MID(TRIM(D17),9,1)&gt;="A",MID(TRIM(D17),9,1)&lt;="F"))),MID(TRIM(D17),9,1),"#"),IF(OR((AND(MID(TRIM(D17),10,1)&gt;="0",MID(TRIM(D17),10,1)&lt;="9")),(AND(MID(TRIM(D17),10,1)&gt;="A",MID(TRIM(D17),10,1)&lt;="F"))),MID(TRIM(D17),10,1),"#"),":",IF(OR((AND(MID(TRIM(D17),11,1)&gt;="0",MID(TRIM(D17),11,1)&lt;="9")),(AND(MID(TRIM(D17),11,1)&gt;="A",MID(TRIM(D17),11,1)&lt;="F"))),MID(TRIM(D17),11,1),"#"),IF(OR((AND(MID(TRIM(D17),12,1)&gt;="0",MID(TRIM(D17),12,1)&lt;="9")),(AND(MID(TRIM(D17),12,1)&gt;="A",MID(TRIM(D17),12,1)&lt;="F"))),MID(TRIM(D17),12,1),"#")))))</f>
        <v>&lt;== Type a MAC Address</v>
      </c>
      <c r="G17" s="56"/>
      <c r="H17" s="51"/>
      <c r="I17" s="55"/>
      <c r="L17" s="38" t="e">
        <f>VLOOKUP($F17,'WLAN Team Internal use'!$A:$Q,2,0)</f>
        <v>#N/A</v>
      </c>
      <c r="M17" s="38" t="e">
        <f>VLOOKUP($F17,'WLAN Team Internal use'!$A:$Q,3,0)</f>
        <v>#N/A</v>
      </c>
      <c r="N17" s="38" t="e">
        <f>VLOOKUP($F17,'WLAN Team Internal use'!$A:$Q,6,0)</f>
        <v>#N/A</v>
      </c>
      <c r="O17" s="38" t="e">
        <f>VLOOKUP($F17,'WLAN Team Internal use'!$A:$Q,7,0)</f>
        <v>#N/A</v>
      </c>
    </row>
    <row r="18" spans="1:15" ht="15.6" x14ac:dyDescent="0.3">
      <c r="A18" s="17"/>
      <c r="B18" s="52"/>
      <c r="C18" s="53"/>
      <c r="D18" s="54"/>
      <c r="E18" s="47"/>
      <c r="F18" s="34" t="str">
        <f t="shared" si="2"/>
        <v>&lt;== Type a MAC Address</v>
      </c>
      <c r="G18" s="56"/>
      <c r="H18" s="51"/>
      <c r="I18" s="55"/>
      <c r="L18" s="38" t="e">
        <f>VLOOKUP($F18,'WLAN Team Internal use'!$A:$Q,2,0)</f>
        <v>#N/A</v>
      </c>
      <c r="M18" s="38" t="e">
        <f>VLOOKUP($F18,'WLAN Team Internal use'!$A:$Q,3,0)</f>
        <v>#N/A</v>
      </c>
      <c r="N18" s="38" t="e">
        <f>VLOOKUP($F18,'WLAN Team Internal use'!$A:$Q,6,0)</f>
        <v>#N/A</v>
      </c>
      <c r="O18" s="38" t="e">
        <f>VLOOKUP($F18,'WLAN Team Internal use'!$A:$Q,7,0)</f>
        <v>#N/A</v>
      </c>
    </row>
    <row r="19" spans="1:15" ht="15.6" x14ac:dyDescent="0.3">
      <c r="A19" s="17"/>
      <c r="B19" s="52"/>
      <c r="C19" s="53"/>
      <c r="D19" s="54"/>
      <c r="E19" s="47"/>
      <c r="F19" s="34" t="str">
        <f t="shared" si="2"/>
        <v>&lt;== Type a MAC Address</v>
      </c>
      <c r="G19" s="56"/>
      <c r="H19" s="51"/>
      <c r="I19" s="55"/>
      <c r="L19" s="38" t="e">
        <f>VLOOKUP($F19,'WLAN Team Internal use'!$A:$Q,2,0)</f>
        <v>#N/A</v>
      </c>
      <c r="M19" s="38" t="e">
        <f>VLOOKUP($F19,'WLAN Team Internal use'!$A:$Q,3,0)</f>
        <v>#N/A</v>
      </c>
      <c r="N19" s="38" t="e">
        <f>VLOOKUP($F19,'WLAN Team Internal use'!$A:$Q,6,0)</f>
        <v>#N/A</v>
      </c>
      <c r="O19" s="38" t="e">
        <f>VLOOKUP($F19,'WLAN Team Internal use'!$A:$Q,7,0)</f>
        <v>#N/A</v>
      </c>
    </row>
    <row r="20" spans="1:15" ht="15.6" x14ac:dyDescent="0.3">
      <c r="A20" s="17"/>
      <c r="B20" s="52"/>
      <c r="C20" s="53"/>
      <c r="D20" s="54"/>
      <c r="E20" s="47"/>
      <c r="F20" s="34" t="str">
        <f t="shared" si="2"/>
        <v>&lt;== Type a MAC Address</v>
      </c>
      <c r="G20" s="56"/>
      <c r="H20" s="51"/>
      <c r="I20" s="55"/>
      <c r="L20" s="38" t="e">
        <f>VLOOKUP($F20,'WLAN Team Internal use'!$A:$Q,2,0)</f>
        <v>#N/A</v>
      </c>
      <c r="M20" s="38" t="e">
        <f>VLOOKUP($F20,'WLAN Team Internal use'!$A:$Q,3,0)</f>
        <v>#N/A</v>
      </c>
      <c r="N20" s="38" t="e">
        <f>VLOOKUP($F20,'WLAN Team Internal use'!$A:$Q,6,0)</f>
        <v>#N/A</v>
      </c>
      <c r="O20" s="38" t="e">
        <f>VLOOKUP($F20,'WLAN Team Internal use'!$A:$Q,7,0)</f>
        <v>#N/A</v>
      </c>
    </row>
    <row r="21" spans="1:15" ht="15.6" x14ac:dyDescent="0.3">
      <c r="A21" s="17"/>
      <c r="B21" s="52"/>
      <c r="C21" s="53"/>
      <c r="D21" s="54"/>
      <c r="E21" s="47"/>
      <c r="F21" s="34" t="str">
        <f t="shared" si="2"/>
        <v>&lt;== Type a MAC Address</v>
      </c>
      <c r="G21" s="56"/>
      <c r="H21" s="51"/>
      <c r="I21" s="55"/>
      <c r="L21" s="38" t="e">
        <f>VLOOKUP($F21,'WLAN Team Internal use'!$A:$Q,2,0)</f>
        <v>#N/A</v>
      </c>
      <c r="M21" s="38" t="e">
        <f>VLOOKUP($F21,'WLAN Team Internal use'!$A:$Q,3,0)</f>
        <v>#N/A</v>
      </c>
      <c r="N21" s="38" t="e">
        <f>VLOOKUP($F21,'WLAN Team Internal use'!$A:$Q,6,0)</f>
        <v>#N/A</v>
      </c>
      <c r="O21" s="38" t="e">
        <f>VLOOKUP($F21,'WLAN Team Internal use'!$A:$Q,7,0)</f>
        <v>#N/A</v>
      </c>
    </row>
    <row r="22" spans="1:15" ht="15.6" x14ac:dyDescent="0.3">
      <c r="A22" s="17"/>
      <c r="B22" s="52"/>
      <c r="C22" s="53"/>
      <c r="D22" s="54"/>
      <c r="E22" s="47"/>
      <c r="F22" s="34" t="str">
        <f t="shared" si="2"/>
        <v>&lt;== Type a MAC Address</v>
      </c>
      <c r="G22" s="56"/>
      <c r="H22" s="51"/>
      <c r="I22" s="55"/>
      <c r="L22" s="38" t="e">
        <f>VLOOKUP($F22,'WLAN Team Internal use'!$A:$Q,2,0)</f>
        <v>#N/A</v>
      </c>
      <c r="M22" s="38" t="e">
        <f>VLOOKUP($F22,'WLAN Team Internal use'!$A:$Q,3,0)</f>
        <v>#N/A</v>
      </c>
      <c r="N22" s="38" t="e">
        <f>VLOOKUP($F22,'WLAN Team Internal use'!$A:$Q,6,0)</f>
        <v>#N/A</v>
      </c>
      <c r="O22" s="38" t="e">
        <f>VLOOKUP($F22,'WLAN Team Internal use'!$A:$Q,7,0)</f>
        <v>#N/A</v>
      </c>
    </row>
    <row r="23" spans="1:15" ht="15.6" x14ac:dyDescent="0.3">
      <c r="A23" s="17"/>
      <c r="B23" s="52"/>
      <c r="C23" s="53"/>
      <c r="D23" s="54"/>
      <c r="E23" s="47"/>
      <c r="F23" s="34" t="str">
        <f t="shared" si="2"/>
        <v>&lt;== Type a MAC Address</v>
      </c>
      <c r="G23" s="56"/>
      <c r="H23" s="51"/>
      <c r="I23" s="55"/>
      <c r="L23" s="38" t="e">
        <f>VLOOKUP($F23,'WLAN Team Internal use'!$A:$Q,2,0)</f>
        <v>#N/A</v>
      </c>
      <c r="M23" s="38" t="e">
        <f>VLOOKUP($F23,'WLAN Team Internal use'!$A:$Q,3,0)</f>
        <v>#N/A</v>
      </c>
      <c r="N23" s="38" t="e">
        <f>VLOOKUP($F23,'WLAN Team Internal use'!$A:$Q,6,0)</f>
        <v>#N/A</v>
      </c>
      <c r="O23" s="38" t="e">
        <f>VLOOKUP($F23,'WLAN Team Internal use'!$A:$Q,7,0)</f>
        <v>#N/A</v>
      </c>
    </row>
    <row r="24" spans="1:15" ht="15.6" x14ac:dyDescent="0.3">
      <c r="A24" s="17"/>
      <c r="B24" s="52"/>
      <c r="C24" s="53"/>
      <c r="D24" s="54"/>
      <c r="E24" s="47"/>
      <c r="F24" s="34" t="str">
        <f t="shared" si="2"/>
        <v>&lt;== Type a MAC Address</v>
      </c>
      <c r="G24" s="56"/>
      <c r="H24" s="51"/>
      <c r="I24" s="55"/>
      <c r="L24" s="38" t="e">
        <f>VLOOKUP($F24,'WLAN Team Internal use'!$A:$Q,2,0)</f>
        <v>#N/A</v>
      </c>
      <c r="M24" s="38" t="e">
        <f>VLOOKUP($F24,'WLAN Team Internal use'!$A:$Q,3,0)</f>
        <v>#N/A</v>
      </c>
      <c r="N24" s="38" t="e">
        <f>VLOOKUP($F24,'WLAN Team Internal use'!$A:$Q,6,0)</f>
        <v>#N/A</v>
      </c>
      <c r="O24" s="38" t="e">
        <f>VLOOKUP($F24,'WLAN Team Internal use'!$A:$Q,7,0)</f>
        <v>#N/A</v>
      </c>
    </row>
    <row r="25" spans="1:15" ht="15.6" x14ac:dyDescent="0.3">
      <c r="A25" s="17"/>
      <c r="B25" s="52"/>
      <c r="C25" s="53"/>
      <c r="D25" s="54"/>
      <c r="E25" s="47"/>
      <c r="F25" s="34" t="str">
        <f t="shared" si="2"/>
        <v>&lt;== Type a MAC Address</v>
      </c>
      <c r="G25" s="56"/>
      <c r="H25" s="51"/>
      <c r="I25" s="55"/>
      <c r="L25" s="38" t="e">
        <f>VLOOKUP($F25,'WLAN Team Internal use'!$A:$Q,2,0)</f>
        <v>#N/A</v>
      </c>
      <c r="M25" s="38" t="e">
        <f>VLOOKUP($F25,'WLAN Team Internal use'!$A:$Q,3,0)</f>
        <v>#N/A</v>
      </c>
      <c r="N25" s="38" t="e">
        <f>VLOOKUP($F25,'WLAN Team Internal use'!$A:$Q,6,0)</f>
        <v>#N/A</v>
      </c>
      <c r="O25" s="38" t="e">
        <f>VLOOKUP($F25,'WLAN Team Internal use'!$A:$Q,7,0)</f>
        <v>#N/A</v>
      </c>
    </row>
    <row r="26" spans="1:15" ht="15.6" x14ac:dyDescent="0.3">
      <c r="A26" s="17"/>
      <c r="B26" s="47"/>
      <c r="C26" s="48"/>
      <c r="D26" s="47"/>
      <c r="E26" s="47"/>
      <c r="F26" s="34" t="str">
        <f t="shared" si="2"/>
        <v>&lt;== Type a MAC Address</v>
      </c>
      <c r="G26" s="49"/>
      <c r="H26" s="50"/>
      <c r="I26" s="46"/>
      <c r="L26" s="38" t="e">
        <f>VLOOKUP($F26,'WLAN Team Internal use'!$A:$Q,2,0)</f>
        <v>#N/A</v>
      </c>
      <c r="M26" s="38" t="e">
        <f>VLOOKUP($F26,'WLAN Team Internal use'!$A:$Q,3,0)</f>
        <v>#N/A</v>
      </c>
      <c r="N26" s="38" t="e">
        <f>VLOOKUP($F26,'WLAN Team Internal use'!$A:$Q,6,0)</f>
        <v>#N/A</v>
      </c>
      <c r="O26" s="38" t="e">
        <f>VLOOKUP($F26,'WLAN Team Internal use'!$A:$Q,7,0)</f>
        <v>#N/A</v>
      </c>
    </row>
    <row r="27" spans="1:15" ht="15.6" x14ac:dyDescent="0.3">
      <c r="A27" s="17"/>
      <c r="B27" s="47"/>
      <c r="C27" s="48"/>
      <c r="D27" s="47"/>
      <c r="E27" s="47"/>
      <c r="F27" s="34" t="str">
        <f t="shared" si="2"/>
        <v>&lt;== Type a MAC Address</v>
      </c>
      <c r="G27" s="49"/>
      <c r="H27" s="50"/>
      <c r="I27" s="46"/>
      <c r="L27" s="38" t="e">
        <f>VLOOKUP($F27,'WLAN Team Internal use'!$A:$Q,2,0)</f>
        <v>#N/A</v>
      </c>
      <c r="M27" s="38" t="e">
        <f>VLOOKUP($F27,'WLAN Team Internal use'!$A:$Q,3,0)</f>
        <v>#N/A</v>
      </c>
      <c r="N27" s="38" t="e">
        <f>VLOOKUP($F27,'WLAN Team Internal use'!$A:$Q,6,0)</f>
        <v>#N/A</v>
      </c>
      <c r="O27" s="38" t="e">
        <f>VLOOKUP($F27,'WLAN Team Internal use'!$A:$Q,7,0)</f>
        <v>#N/A</v>
      </c>
    </row>
    <row r="28" spans="1:15" ht="15.6" x14ac:dyDescent="0.3">
      <c r="A28" s="17"/>
      <c r="B28" s="47"/>
      <c r="C28" s="48"/>
      <c r="D28" s="47"/>
      <c r="E28" s="47"/>
      <c r="F28" s="34" t="str">
        <f t="shared" si="2"/>
        <v>&lt;== Type a MAC Address</v>
      </c>
      <c r="G28" s="49"/>
      <c r="H28" s="50"/>
      <c r="I28" s="46"/>
      <c r="L28" s="38" t="e">
        <f>VLOOKUP($F28,'WLAN Team Internal use'!$A:$Q,2,0)</f>
        <v>#N/A</v>
      </c>
      <c r="M28" s="38" t="e">
        <f>VLOOKUP($F28,'WLAN Team Internal use'!$A:$Q,3,0)</f>
        <v>#N/A</v>
      </c>
      <c r="N28" s="38" t="e">
        <f>VLOOKUP($F28,'WLAN Team Internal use'!$A:$Q,6,0)</f>
        <v>#N/A</v>
      </c>
      <c r="O28" s="38" t="e">
        <f>VLOOKUP($F28,'WLAN Team Internal use'!$A:$Q,7,0)</f>
        <v>#N/A</v>
      </c>
    </row>
    <row r="29" spans="1:15" ht="15.6" x14ac:dyDescent="0.3">
      <c r="A29" s="17"/>
      <c r="B29" s="47"/>
      <c r="C29" s="48"/>
      <c r="D29" s="49"/>
      <c r="E29" s="49"/>
      <c r="F29" s="34" t="str">
        <f t="shared" si="2"/>
        <v>&lt;== Type a MAC Address</v>
      </c>
      <c r="G29" s="49"/>
      <c r="H29" s="50"/>
      <c r="I29" s="46"/>
      <c r="L29" s="38" t="e">
        <f>VLOOKUP($F29,'WLAN Team Internal use'!$A:$Q,2,0)</f>
        <v>#N/A</v>
      </c>
      <c r="M29" s="38" t="e">
        <f>VLOOKUP($F29,'WLAN Team Internal use'!$A:$Q,3,0)</f>
        <v>#N/A</v>
      </c>
      <c r="N29" s="38" t="e">
        <f>VLOOKUP($F29,'WLAN Team Internal use'!$A:$Q,6,0)</f>
        <v>#N/A</v>
      </c>
      <c r="O29" s="38" t="e">
        <f>VLOOKUP($F29,'WLAN Team Internal use'!$A:$Q,7,0)</f>
        <v>#N/A</v>
      </c>
    </row>
    <row r="30" spans="1:15" ht="14.4" x14ac:dyDescent="0.3">
      <c r="A30" s="17"/>
      <c r="B30" s="18"/>
      <c r="C30" s="37"/>
      <c r="D30" s="33"/>
      <c r="E30" s="22" t="str">
        <f t="shared" ref="E30" si="3">LOWER(C30)</f>
        <v/>
      </c>
      <c r="F30" s="34" t="str">
        <f t="shared" si="2"/>
        <v>&lt;== Type a MAC Address</v>
      </c>
      <c r="G30" s="23"/>
      <c r="H30" s="16"/>
      <c r="I30" s="46"/>
      <c r="L30" s="38" t="e">
        <f>VLOOKUP($F30,'WLAN Team Internal use'!$A:$Q,2,0)</f>
        <v>#N/A</v>
      </c>
      <c r="M30" s="38" t="e">
        <f>VLOOKUP($F30,'WLAN Team Internal use'!$A:$Q,3,0)</f>
        <v>#N/A</v>
      </c>
      <c r="N30" s="38" t="e">
        <f>VLOOKUP($F30,'WLAN Team Internal use'!$A:$Q,6,0)</f>
        <v>#N/A</v>
      </c>
      <c r="O30" s="38" t="e">
        <f>VLOOKUP($F30,'WLAN Team Internal use'!$A:$Q,7,0)</f>
        <v>#N/A</v>
      </c>
    </row>
    <row r="31" spans="1:15" ht="14.4" x14ac:dyDescent="0.3">
      <c r="A31" s="11"/>
      <c r="B31" s="18"/>
      <c r="C31" s="37"/>
      <c r="D31" s="33"/>
      <c r="E31" s="22" t="str">
        <f t="shared" si="0"/>
        <v/>
      </c>
      <c r="F31" s="34" t="str">
        <f t="shared" si="1"/>
        <v>&lt;== Type a MAC Address</v>
      </c>
      <c r="G31" s="11"/>
      <c r="H31" s="11"/>
      <c r="I31" s="11"/>
      <c r="L31" s="38" t="e">
        <f>VLOOKUP($F31,'WLAN Team Internal use'!$A:$Q,2,0)</f>
        <v>#N/A</v>
      </c>
      <c r="M31" s="38" t="e">
        <f>VLOOKUP($F31,'WLAN Team Internal use'!$A:$Q,3,0)</f>
        <v>#N/A</v>
      </c>
      <c r="N31" s="38" t="e">
        <f>VLOOKUP($F31,'WLAN Team Internal use'!$A:$Q,6,0)</f>
        <v>#N/A</v>
      </c>
      <c r="O31" s="38" t="e">
        <f>VLOOKUP($F31,'WLAN Team Internal use'!$A:$Q,7,0)</f>
        <v>#N/A</v>
      </c>
    </row>
    <row r="32" spans="1:15" ht="14.4" x14ac:dyDescent="0.3">
      <c r="A32" s="11"/>
      <c r="B32" s="18"/>
      <c r="C32" s="37"/>
      <c r="D32" s="33"/>
      <c r="E32" s="22" t="str">
        <f t="shared" si="0"/>
        <v/>
      </c>
      <c r="F32" s="34" t="str">
        <f t="shared" si="1"/>
        <v>&lt;== Type a MAC Address</v>
      </c>
      <c r="G32" s="11"/>
      <c r="H32" s="11"/>
      <c r="I32" s="11"/>
      <c r="L32" s="38" t="e">
        <f>VLOOKUP($F32,'WLAN Team Internal use'!$A:$Q,2,0)</f>
        <v>#N/A</v>
      </c>
      <c r="M32" s="38" t="e">
        <f>VLOOKUP($F32,'WLAN Team Internal use'!$A:$Q,3,0)</f>
        <v>#N/A</v>
      </c>
      <c r="N32" s="38" t="e">
        <f>VLOOKUP($F32,'WLAN Team Internal use'!$A:$Q,6,0)</f>
        <v>#N/A</v>
      </c>
      <c r="O32" s="38" t="e">
        <f>VLOOKUP($F32,'WLAN Team Internal use'!$A:$Q,7,0)</f>
        <v>#N/A</v>
      </c>
    </row>
    <row r="33" spans="1:15" ht="14.4" x14ac:dyDescent="0.3">
      <c r="A33" s="11"/>
      <c r="B33" s="18"/>
      <c r="C33" s="37"/>
      <c r="D33" s="33"/>
      <c r="E33" s="22" t="str">
        <f t="shared" si="0"/>
        <v/>
      </c>
      <c r="F33" s="34" t="str">
        <f t="shared" si="1"/>
        <v>&lt;== Type a MAC Address</v>
      </c>
      <c r="G33" s="11"/>
      <c r="H33" s="11"/>
      <c r="I33" s="11"/>
      <c r="L33" s="38" t="e">
        <f>VLOOKUP($F33,'WLAN Team Internal use'!$A:$Q,2,0)</f>
        <v>#N/A</v>
      </c>
      <c r="M33" s="38" t="e">
        <f>VLOOKUP($F33,'WLAN Team Internal use'!$A:$Q,3,0)</f>
        <v>#N/A</v>
      </c>
      <c r="N33" s="38" t="e">
        <f>VLOOKUP($F33,'WLAN Team Internal use'!$A:$Q,6,0)</f>
        <v>#N/A</v>
      </c>
      <c r="O33" s="38" t="e">
        <f>VLOOKUP($F33,'WLAN Team Internal use'!$A:$Q,7,0)</f>
        <v>#N/A</v>
      </c>
    </row>
    <row r="34" spans="1:15" ht="14.4" x14ac:dyDescent="0.3">
      <c r="A34" s="11"/>
      <c r="B34" s="18"/>
      <c r="C34" s="37"/>
      <c r="D34" s="33"/>
      <c r="E34" s="22" t="str">
        <f t="shared" si="0"/>
        <v/>
      </c>
      <c r="F34" s="34" t="str">
        <f t="shared" si="1"/>
        <v>&lt;== Type a MAC Address</v>
      </c>
      <c r="G34" s="11"/>
      <c r="H34" s="11"/>
      <c r="I34" s="11"/>
      <c r="L34" s="38" t="e">
        <f>VLOOKUP($F34,'WLAN Team Internal use'!$A:$Q,2,0)</f>
        <v>#N/A</v>
      </c>
      <c r="M34" s="38" t="e">
        <f>VLOOKUP($F34,'WLAN Team Internal use'!$A:$Q,3,0)</f>
        <v>#N/A</v>
      </c>
      <c r="N34" s="38" t="e">
        <f>VLOOKUP($F34,'WLAN Team Internal use'!$A:$Q,6,0)</f>
        <v>#N/A</v>
      </c>
      <c r="O34" s="38" t="e">
        <f>VLOOKUP($F34,'WLAN Team Internal use'!$A:$Q,7,0)</f>
        <v>#N/A</v>
      </c>
    </row>
    <row r="35" spans="1:15" ht="14.4" x14ac:dyDescent="0.3">
      <c r="A35" s="11"/>
      <c r="B35" s="18"/>
      <c r="C35" s="37"/>
      <c r="D35" s="33"/>
      <c r="E35" s="22" t="str">
        <f t="shared" si="0"/>
        <v/>
      </c>
      <c r="F35" s="34" t="str">
        <f t="shared" si="1"/>
        <v>&lt;== Type a MAC Address</v>
      </c>
      <c r="G35" s="11"/>
      <c r="H35" s="11"/>
      <c r="I35" s="11"/>
      <c r="L35" s="38" t="e">
        <f>VLOOKUP($F35,'WLAN Team Internal use'!$A:$Q,2,0)</f>
        <v>#N/A</v>
      </c>
      <c r="M35" s="38" t="e">
        <f>VLOOKUP($F35,'WLAN Team Internal use'!$A:$Q,3,0)</f>
        <v>#N/A</v>
      </c>
      <c r="N35" s="38" t="e">
        <f>VLOOKUP($F35,'WLAN Team Internal use'!$A:$Q,6,0)</f>
        <v>#N/A</v>
      </c>
      <c r="O35" s="38" t="e">
        <f>VLOOKUP($F35,'WLAN Team Internal use'!$A:$Q,7,0)</f>
        <v>#N/A</v>
      </c>
    </row>
    <row r="36" spans="1:15" ht="14.4" x14ac:dyDescent="0.3">
      <c r="A36" s="11"/>
      <c r="B36" s="18"/>
      <c r="C36" s="37"/>
      <c r="D36" s="33"/>
      <c r="E36" s="22" t="str">
        <f t="shared" si="0"/>
        <v/>
      </c>
      <c r="F36" s="34" t="str">
        <f t="shared" si="1"/>
        <v>&lt;== Type a MAC Address</v>
      </c>
      <c r="G36" s="11"/>
      <c r="H36" s="11"/>
      <c r="I36" s="11"/>
      <c r="L36" s="38" t="e">
        <f>VLOOKUP($F36,'WLAN Team Internal use'!$A:$Q,2,0)</f>
        <v>#N/A</v>
      </c>
      <c r="M36" s="38" t="e">
        <f>VLOOKUP($F36,'WLAN Team Internal use'!$A:$Q,3,0)</f>
        <v>#N/A</v>
      </c>
      <c r="N36" s="38" t="e">
        <f>VLOOKUP($F36,'WLAN Team Internal use'!$A:$Q,6,0)</f>
        <v>#N/A</v>
      </c>
      <c r="O36" s="38" t="e">
        <f>VLOOKUP($F36,'WLAN Team Internal use'!$A:$Q,7,0)</f>
        <v>#N/A</v>
      </c>
    </row>
    <row r="37" spans="1:15" ht="14.4" x14ac:dyDescent="0.3">
      <c r="A37" s="11"/>
      <c r="B37" s="18"/>
      <c r="C37" s="37"/>
      <c r="D37" s="33"/>
      <c r="E37" s="22" t="str">
        <f t="shared" si="0"/>
        <v/>
      </c>
      <c r="F37" s="34" t="str">
        <f t="shared" si="1"/>
        <v>&lt;== Type a MAC Address</v>
      </c>
      <c r="G37" s="11"/>
      <c r="H37" s="11"/>
      <c r="I37" s="11"/>
      <c r="L37" s="38" t="e">
        <f>VLOOKUP($F37,'WLAN Team Internal use'!$A:$Q,2,0)</f>
        <v>#N/A</v>
      </c>
      <c r="M37" s="38" t="e">
        <f>VLOOKUP($F37,'WLAN Team Internal use'!$A:$Q,3,0)</f>
        <v>#N/A</v>
      </c>
      <c r="N37" s="38" t="e">
        <f>VLOOKUP($F37,'WLAN Team Internal use'!$A:$Q,6,0)</f>
        <v>#N/A</v>
      </c>
      <c r="O37" s="38" t="e">
        <f>VLOOKUP($F37,'WLAN Team Internal use'!$A:$Q,7,0)</f>
        <v>#N/A</v>
      </c>
    </row>
    <row r="38" spans="1:15" ht="14.4" x14ac:dyDescent="0.3">
      <c r="A38" s="11"/>
      <c r="B38" s="18"/>
      <c r="C38" s="37"/>
      <c r="D38" s="33"/>
      <c r="E38" s="22" t="str">
        <f t="shared" si="0"/>
        <v/>
      </c>
      <c r="F38" s="34" t="str">
        <f t="shared" si="1"/>
        <v>&lt;== Type a MAC Address</v>
      </c>
      <c r="G38" s="11"/>
      <c r="H38" s="11"/>
      <c r="I38" s="11"/>
      <c r="L38" s="38" t="e">
        <f>VLOOKUP($F38,'WLAN Team Internal use'!$A:$Q,2,0)</f>
        <v>#N/A</v>
      </c>
      <c r="M38" s="38" t="e">
        <f>VLOOKUP($F38,'WLAN Team Internal use'!$A:$Q,3,0)</f>
        <v>#N/A</v>
      </c>
      <c r="N38" s="38" t="e">
        <f>VLOOKUP($F38,'WLAN Team Internal use'!$A:$Q,6,0)</f>
        <v>#N/A</v>
      </c>
      <c r="O38" s="38" t="e">
        <f>VLOOKUP($F38,'WLAN Team Internal use'!$A:$Q,7,0)</f>
        <v>#N/A</v>
      </c>
    </row>
    <row r="39" spans="1:15" x14ac:dyDescent="0.25">
      <c r="C39" s="12" t="s">
        <v>7</v>
      </c>
      <c r="K39" s="12"/>
    </row>
    <row r="40" spans="1:15" x14ac:dyDescent="0.25">
      <c r="C40" s="13" t="s">
        <v>8</v>
      </c>
      <c r="K40" s="13"/>
    </row>
    <row r="41" spans="1:15" x14ac:dyDescent="0.25">
      <c r="C41" s="14" t="s">
        <v>9</v>
      </c>
      <c r="K41" s="14"/>
    </row>
    <row r="42" spans="1:15" x14ac:dyDescent="0.25">
      <c r="C42" s="15" t="s">
        <v>10</v>
      </c>
      <c r="K42" s="15"/>
    </row>
    <row r="43" spans="1:15" x14ac:dyDescent="0.25">
      <c r="C43" s="15"/>
      <c r="K43" s="15"/>
    </row>
    <row r="44" spans="1:15" ht="17.399999999999999" x14ac:dyDescent="0.3">
      <c r="A44" s="19" t="s">
        <v>48</v>
      </c>
      <c r="C44" s="15"/>
      <c r="K44" s="15"/>
    </row>
    <row r="45" spans="1:15" ht="17.399999999999999" x14ac:dyDescent="0.3">
      <c r="A45" s="19" t="s">
        <v>49</v>
      </c>
      <c r="C45" s="15"/>
      <c r="K45" s="15"/>
    </row>
    <row r="46" spans="1:15" ht="17.399999999999999" x14ac:dyDescent="0.3">
      <c r="A46" s="19" t="s">
        <v>50</v>
      </c>
      <c r="C46" s="15"/>
      <c r="K46" s="15"/>
    </row>
    <row r="47" spans="1:15" ht="21" customHeight="1" x14ac:dyDescent="0.3">
      <c r="A47" s="43" t="s">
        <v>51</v>
      </c>
      <c r="C47" s="15"/>
      <c r="K47" s="15"/>
    </row>
    <row r="48" spans="1:15" ht="17.399999999999999" x14ac:dyDescent="0.3">
      <c r="A48" s="19"/>
      <c r="C48" s="15"/>
      <c r="K48" s="15"/>
    </row>
    <row r="49" spans="1:11" x14ac:dyDescent="0.25">
      <c r="C49" s="4"/>
    </row>
    <row r="50" spans="1:11" ht="17.399999999999999" x14ac:dyDescent="0.3">
      <c r="A50" s="19" t="s">
        <v>16</v>
      </c>
      <c r="C50" s="4"/>
    </row>
    <row r="51" spans="1:11" ht="17.399999999999999" x14ac:dyDescent="0.3">
      <c r="A51" s="19" t="s">
        <v>15</v>
      </c>
      <c r="C51" s="4"/>
    </row>
    <row r="52" spans="1:11" ht="17.399999999999999" x14ac:dyDescent="0.3">
      <c r="A52" s="19"/>
      <c r="C52" s="4"/>
    </row>
    <row r="53" spans="1:11" ht="17.399999999999999" x14ac:dyDescent="0.3">
      <c r="A53" s="19" t="s">
        <v>17</v>
      </c>
      <c r="C53" s="4"/>
    </row>
    <row r="54" spans="1:11" ht="17.399999999999999" x14ac:dyDescent="0.3">
      <c r="A54" s="19" t="s">
        <v>19</v>
      </c>
      <c r="C54" s="4"/>
    </row>
    <row r="55" spans="1:11" ht="17.399999999999999" x14ac:dyDescent="0.3">
      <c r="A55" s="19" t="s">
        <v>20</v>
      </c>
      <c r="C55" s="4"/>
    </row>
    <row r="56" spans="1:11" ht="17.399999999999999" x14ac:dyDescent="0.3">
      <c r="A56" s="19" t="s">
        <v>21</v>
      </c>
      <c r="C56" s="4"/>
    </row>
    <row r="57" spans="1:11" ht="17.399999999999999" x14ac:dyDescent="0.3">
      <c r="A57" s="19"/>
      <c r="C57" s="4"/>
    </row>
    <row r="58" spans="1:11" ht="17.399999999999999" x14ac:dyDescent="0.3">
      <c r="A58" s="19" t="s">
        <v>22</v>
      </c>
      <c r="C58" s="4"/>
    </row>
    <row r="59" spans="1:11" ht="17.399999999999999" x14ac:dyDescent="0.3">
      <c r="A59" s="28" t="s">
        <v>25</v>
      </c>
      <c r="B59" s="29"/>
      <c r="C59" s="29"/>
      <c r="D59" s="29"/>
      <c r="E59" s="29"/>
      <c r="F59" s="29"/>
      <c r="G59" s="29"/>
      <c r="H59" s="29"/>
      <c r="I59" s="29"/>
      <c r="J59" s="29"/>
    </row>
    <row r="60" spans="1:11" ht="17.399999999999999" x14ac:dyDescent="0.3">
      <c r="A60" s="28" t="s">
        <v>23</v>
      </c>
      <c r="B60" s="29"/>
      <c r="C60" s="29"/>
      <c r="D60" s="29"/>
      <c r="E60" s="29"/>
      <c r="F60" s="29"/>
      <c r="G60" s="29"/>
      <c r="H60" s="29"/>
      <c r="I60" s="29"/>
      <c r="J60" s="29"/>
    </row>
    <row r="61" spans="1:11" ht="17.399999999999999" x14ac:dyDescent="0.3">
      <c r="A61" s="28"/>
      <c r="B61" s="29"/>
      <c r="C61" s="29"/>
      <c r="D61" s="29"/>
      <c r="E61" s="29"/>
      <c r="F61" s="29"/>
      <c r="G61" s="29"/>
      <c r="H61" s="29"/>
      <c r="I61" s="29"/>
      <c r="J61" s="29"/>
    </row>
    <row r="62" spans="1:11" ht="17.399999999999999" x14ac:dyDescent="0.3">
      <c r="A62" s="28" t="s">
        <v>32</v>
      </c>
      <c r="B62" s="29"/>
      <c r="C62" s="29"/>
      <c r="D62" s="29"/>
      <c r="E62" s="29"/>
      <c r="F62" s="29"/>
      <c r="G62" s="29"/>
      <c r="H62" s="29"/>
      <c r="I62" s="29"/>
      <c r="J62" s="29"/>
    </row>
    <row r="63" spans="1:11" s="27" customFormat="1" ht="17.399999999999999" x14ac:dyDescent="0.3">
      <c r="A63" s="28"/>
      <c r="B63" s="29"/>
      <c r="C63" s="29"/>
      <c r="D63" s="29"/>
      <c r="E63" s="29"/>
      <c r="F63" s="29"/>
      <c r="G63" s="29"/>
      <c r="H63" s="29"/>
      <c r="I63" s="29"/>
      <c r="J63" s="29"/>
      <c r="K63" s="29"/>
    </row>
    <row r="64" spans="1:11" s="27" customFormat="1" ht="17.399999999999999" x14ac:dyDescent="0.3">
      <c r="A64" s="28"/>
      <c r="B64" s="29"/>
      <c r="C64" s="29"/>
      <c r="D64" s="29"/>
      <c r="E64" s="29"/>
      <c r="F64" s="29"/>
      <c r="G64" s="29"/>
      <c r="H64" s="29"/>
      <c r="I64" s="29"/>
      <c r="J64" s="29"/>
      <c r="K64" s="29"/>
    </row>
    <row r="65" spans="1:11" s="27" customFormat="1" ht="17.399999999999999" x14ac:dyDescent="0.3">
      <c r="A65" s="25" t="s">
        <v>24</v>
      </c>
      <c r="B65" s="26"/>
      <c r="C65" s="26"/>
      <c r="D65" s="26"/>
      <c r="E65" s="26"/>
      <c r="F65" s="26"/>
      <c r="G65" s="26"/>
      <c r="H65" s="26"/>
      <c r="I65" s="26"/>
      <c r="J65" s="29"/>
      <c r="K65" s="29"/>
    </row>
    <row r="66" spans="1:11" s="27" customFormat="1" ht="17.399999999999999" x14ac:dyDescent="0.3">
      <c r="A66" s="25" t="s">
        <v>26</v>
      </c>
      <c r="B66" s="26"/>
      <c r="C66" s="26"/>
      <c r="D66" s="26"/>
      <c r="E66" s="26"/>
      <c r="F66" s="26"/>
      <c r="G66" s="26"/>
      <c r="H66" s="26"/>
      <c r="I66" s="26"/>
      <c r="J66" s="29"/>
      <c r="K66" s="29"/>
    </row>
    <row r="67" spans="1:11" ht="17.399999999999999" x14ac:dyDescent="0.3">
      <c r="A67" s="19"/>
      <c r="C67" s="4"/>
    </row>
    <row r="68" spans="1:11" ht="17.399999999999999" x14ac:dyDescent="0.3">
      <c r="A68" s="19" t="s">
        <v>14</v>
      </c>
      <c r="C68" s="4"/>
    </row>
    <row r="69" spans="1:11" ht="17.399999999999999" x14ac:dyDescent="0.3">
      <c r="A69" s="19" t="s">
        <v>44</v>
      </c>
      <c r="C69" s="4"/>
    </row>
    <row r="70" spans="1:11" x14ac:dyDescent="0.25">
      <c r="C70" s="4"/>
    </row>
    <row r="71" spans="1:11" ht="17.399999999999999" x14ac:dyDescent="0.3">
      <c r="A71" s="19" t="s">
        <v>27</v>
      </c>
      <c r="C71" s="4"/>
    </row>
    <row r="72" spans="1:11" ht="17.399999999999999" x14ac:dyDescent="0.3">
      <c r="A72" s="19" t="s">
        <v>18</v>
      </c>
      <c r="C72" s="4"/>
    </row>
    <row r="73" spans="1:11" x14ac:dyDescent="0.25">
      <c r="C73" s="4"/>
    </row>
    <row r="74" spans="1:11" x14ac:dyDescent="0.25">
      <c r="A74" s="4" t="s">
        <v>45</v>
      </c>
      <c r="C74" s="4"/>
    </row>
    <row r="75" spans="1:11" x14ac:dyDescent="0.25">
      <c r="A75" s="4" t="s">
        <v>46</v>
      </c>
      <c r="C75" s="4"/>
    </row>
    <row r="76" spans="1:11" x14ac:dyDescent="0.25">
      <c r="A76" s="4" t="s">
        <v>47</v>
      </c>
      <c r="C76" s="4"/>
    </row>
    <row r="77" spans="1:11" x14ac:dyDescent="0.25">
      <c r="C77" s="4"/>
    </row>
    <row r="78" spans="1:11" x14ac:dyDescent="0.25">
      <c r="C78" s="4"/>
    </row>
    <row r="79" spans="1:11" x14ac:dyDescent="0.25">
      <c r="C79" s="4"/>
    </row>
    <row r="80" spans="1:11" x14ac:dyDescent="0.25">
      <c r="C80" s="4"/>
    </row>
    <row r="81" spans="3:3" x14ac:dyDescent="0.25">
      <c r="C81" s="4"/>
    </row>
    <row r="82" spans="3:3" x14ac:dyDescent="0.25">
      <c r="C82" s="4"/>
    </row>
    <row r="83" spans="3:3" x14ac:dyDescent="0.25">
      <c r="C83" s="4"/>
    </row>
  </sheetData>
  <mergeCells count="2">
    <mergeCell ref="J12:K12"/>
    <mergeCell ref="L6:O10"/>
  </mergeCells>
  <phoneticPr fontId="0" type="noConversion"/>
  <conditionalFormatting sqref="D13:D38">
    <cfRule type="expression" dxfId="0" priority="1">
      <formula>OR(IFERROR(SEARCH("#",F13),FALSE),F13="Bad MAC - Missing/Extra Digit")</formula>
    </cfRule>
  </conditionalFormatting>
  <pageMargins left="0.2" right="0.21" top="0.25" bottom="0.45" header="0.25" footer="0.2"/>
  <pageSetup scale="85" orientation="landscape" r:id="rId1"/>
  <headerFooter alignWithMargins="0">
    <oddFooter xml:space="preserve">&amp;C&amp;"Arial,Bold"AT&amp;&amp;T Proprietary (Internal Use Only)&amp;"Arial,Regular"
Not for use or disclosure outside the AT&amp;&amp;T companies
except under written agreement </oddFooter>
  </headerFooter>
  <ignoredErrors>
    <ignoredError sqref="C5" numberStoredAsText="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3.2"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78831F323B284B88427FA43C5A8A0C" ma:contentTypeVersion="2" ma:contentTypeDescription="Create a new document." ma:contentTypeScope="" ma:versionID="e262d9a6d35d1aa18be4ca561cafaf70">
  <xsd:schema xmlns:xsd="http://www.w3.org/2001/XMLSchema" xmlns:xs="http://www.w3.org/2001/XMLSchema" xmlns:p="http://schemas.microsoft.com/office/2006/metadata/properties" targetNamespace="http://schemas.microsoft.com/office/2006/metadata/properties" ma:root="true" ma:fieldsID="d196f01341b22f5016ecd9d4cc90312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1623E26-9F4E-4A81-A406-0E72AE659F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CA15AA8-A1B9-4FB1-A59C-B82A04ACD584}">
  <ds:schemaRefs>
    <ds:schemaRef ds:uri="http://schemas.microsoft.com/sharepoint/v3/contenttype/forms"/>
  </ds:schemaRefs>
</ds:datastoreItem>
</file>

<file path=customXml/itemProps3.xml><?xml version="1.0" encoding="utf-8"?>
<ds:datastoreItem xmlns:ds="http://schemas.openxmlformats.org/officeDocument/2006/customXml" ds:itemID="{DBFCCB17-DD2C-45FE-99A1-2DCB55ECE03E}">
  <ds:schemaRefs>
    <ds:schemaRef ds:uri="http://www.w3.org/XML/1998/namespace"/>
    <ds:schemaRef ds:uri="http://purl.org/dc/elements/1.1/"/>
    <ds:schemaRef ds:uri="http://schemas.openxmlformats.org/package/2006/metadata/core-properties"/>
    <ds:schemaRef ds:uri="http://purl.org/dc/dcmitype/"/>
    <ds:schemaRef ds:uri="http://schemas.microsoft.com/office/2006/metadata/properties"/>
    <ds:schemaRef ds:uri="http://schemas.microsoft.com/office/2006/documentManagement/types"/>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AP Worksheet</vt:lpstr>
      <vt:lpstr>WLAN Team Internal use</vt:lpstr>
      <vt:lpstr>'AP Worksheet'!Print_Area</vt:lpstr>
    </vt:vector>
  </TitlesOfParts>
  <Company>AT&amp;T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 Escudero(ne751d)</dc:creator>
  <cp:lastModifiedBy>BOLOWSKIE, JACK S</cp:lastModifiedBy>
  <dcterms:created xsi:type="dcterms:W3CDTF">2007-09-28T16:53:15Z</dcterms:created>
  <dcterms:modified xsi:type="dcterms:W3CDTF">2020-04-16T17:22:06Z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0x0101001E78831F323B284B88427FA43C5A8A0C</vt:lpwstr>
  </property>
  <property fmtid="{D5CDD505-2E9C-101B-9397-08002B2CF9AE}" pid="3" name="FileLeafRef">
    <vt:lpwstr>AP Worksheet.xlsx</vt:lpwstr>
  </property>
</Properties>
</file>